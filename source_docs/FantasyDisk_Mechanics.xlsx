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" sheetId="1" r:id="rId5"/>
    <sheet state="visible" name="Class Sheet" sheetId="2" r:id="rId6"/>
    <sheet state="visible" name="Лист3" sheetId="3" r:id="rId7"/>
    <sheet state="visible" name="Лист2" sheetId="4" r:id="rId8"/>
  </sheets>
  <definedNames/>
  <calcPr/>
</workbook>
</file>

<file path=xl/sharedStrings.xml><?xml version="1.0" encoding="utf-8"?>
<sst xmlns="http://schemas.openxmlformats.org/spreadsheetml/2006/main" count="721" uniqueCount="307">
  <si>
    <t>Классы</t>
  </si>
  <si>
    <t>Type</t>
  </si>
  <si>
    <t>value range</t>
  </si>
  <si>
    <t>Формула</t>
  </si>
  <si>
    <t>Attribute</t>
  </si>
  <si>
    <t>Default</t>
  </si>
  <si>
    <t>Addition</t>
  </si>
  <si>
    <t>Berserk</t>
  </si>
  <si>
    <t>Assassin</t>
  </si>
  <si>
    <t>Темный маг</t>
  </si>
  <si>
    <t>Рейнджер</t>
  </si>
  <si>
    <t>Доктор</t>
  </si>
  <si>
    <t>Химик</t>
  </si>
  <si>
    <t>Рыцарь</t>
  </si>
  <si>
    <t>Друид</t>
  </si>
  <si>
    <t>Монстр Мили</t>
  </si>
  <si>
    <t>Монстр Рендж</t>
  </si>
  <si>
    <t>Монстр Чардж</t>
  </si>
  <si>
    <t>Монстр Лекарь</t>
  </si>
  <si>
    <t>Сила</t>
  </si>
  <si>
    <t>Ловкость</t>
  </si>
  <si>
    <t>Интеллект</t>
  </si>
  <si>
    <t>Восприятие</t>
  </si>
  <si>
    <t>Энергия</t>
  </si>
  <si>
    <t>Знание</t>
  </si>
  <si>
    <t>Выносливость</t>
  </si>
  <si>
    <t>Лидерство</t>
  </si>
  <si>
    <t>Plain</t>
  </si>
  <si>
    <t>1+</t>
  </si>
  <si>
    <t>( Default + Addition ) * Сила / 10</t>
  </si>
  <si>
    <t>Damage</t>
  </si>
  <si>
    <t>Воин</t>
  </si>
  <si>
    <t>Вор</t>
  </si>
  <si>
    <t>Маг</t>
  </si>
  <si>
    <t>Лучник</t>
  </si>
  <si>
    <t>Лекарь</t>
  </si>
  <si>
    <t>Ученый</t>
  </si>
  <si>
    <t>Танк</t>
  </si>
  <si>
    <t>Призыватель</t>
  </si>
  <si>
    <t>Percent</t>
  </si>
  <si>
    <t>0-100%</t>
  </si>
  <si>
    <t xml:space="preserve">Default + Addition + Ловкость / 100 </t>
  </si>
  <si>
    <t>Crit Chance</t>
  </si>
  <si>
    <t>Берсерк</t>
  </si>
  <si>
    <t>Ассасин</t>
  </si>
  <si>
    <t>0-300%</t>
  </si>
  <si>
    <t>1 + ( Default + Addition ) * Ловкость / 20</t>
  </si>
  <si>
    <t>Crit Damage Multiplier</t>
  </si>
  <si>
    <t>Crit Multiplier</t>
  </si>
  <si>
    <t>Солдат</t>
  </si>
  <si>
    <t>Элементалист</t>
  </si>
  <si>
    <t>Снайпер</t>
  </si>
  <si>
    <t>Священник</t>
  </si>
  <si>
    <t>Биолог</t>
  </si>
  <si>
    <t>Робот</t>
  </si>
  <si>
    <t>Инженер</t>
  </si>
  <si>
    <t>0.1-10</t>
  </si>
  <si>
    <t>( Default + Addition ) * 3 * Ловкость / 100</t>
  </si>
  <si>
    <t>Attack Speed (hits per sec)</t>
  </si>
  <si>
    <t>Attack Speed</t>
  </si>
  <si>
    <t>0-80%</t>
  </si>
  <si>
    <t>( Default + Addition / 8 ) * Ловкость / 10</t>
  </si>
  <si>
    <t>Dodge</t>
  </si>
  <si>
    <t xml:space="preserve">Default + Addition + Ловкость </t>
  </si>
  <si>
    <t>Move Speed</t>
  </si>
  <si>
    <t>( Default + Addition / 8 ) * Выносливость / 10</t>
  </si>
  <si>
    <t>Defense</t>
  </si>
  <si>
    <t>Баланс</t>
  </si>
  <si>
    <t>Двурук</t>
  </si>
  <si>
    <t>Клинки</t>
  </si>
  <si>
    <t>Череп</t>
  </si>
  <si>
    <t>Луки</t>
  </si>
  <si>
    <t>мед экип</t>
  </si>
  <si>
    <t>ЧемГан</t>
  </si>
  <si>
    <t>Меч</t>
  </si>
  <si>
    <t>Посох</t>
  </si>
  <si>
    <t>0+</t>
  </si>
  <si>
    <t>Default + Addition</t>
  </si>
  <si>
    <t>Absorb (Работает ПЕРЕД ВСЕМ)</t>
  </si>
  <si>
    <t>Absorb</t>
  </si>
  <si>
    <t>Монстр Маг</t>
  </si>
  <si>
    <t>( Default * Выносливость / 4 ) + Addition</t>
  </si>
  <si>
    <t>HealthPoint</t>
  </si>
  <si>
    <t>( Default + Addition ) * Выносливость / 2</t>
  </si>
  <si>
    <t>Knockback Distance</t>
  </si>
  <si>
    <t>1 - 10</t>
  </si>
  <si>
    <t>Default + Addition + Лидерство</t>
  </si>
  <si>
    <t>Summon Ammount</t>
  </si>
  <si>
    <t>Attack Range</t>
  </si>
  <si>
    <t>Melee Range</t>
  </si>
  <si>
    <t>0-200%</t>
  </si>
  <si>
    <t>100% + Default + Addition</t>
  </si>
  <si>
    <t>Range Multiplier</t>
  </si>
  <si>
    <t>( Default + Addition ) * Знание / 5</t>
  </si>
  <si>
    <t>Regeneration Tic per sec</t>
  </si>
  <si>
    <t>Regeneration</t>
  </si>
  <si>
    <t xml:space="preserve">Default + Addition + Current Damage / 2 </t>
  </si>
  <si>
    <t>Vampiric amount</t>
  </si>
  <si>
    <t>0%-50%</t>
  </si>
  <si>
    <t>Vampiric chance</t>
  </si>
  <si>
    <t>0%+</t>
  </si>
  <si>
    <t>( Default + Addition ) * Знание / 10</t>
  </si>
  <si>
    <t>DoT Damage</t>
  </si>
  <si>
    <t>SUM</t>
  </si>
  <si>
    <t>( Default + Addition ) * 3 * Знание / 100</t>
  </si>
  <si>
    <t>DoT Speed</t>
  </si>
  <si>
    <t xml:space="preserve">Default + ( 100% + Addition% * Восприятие) * 10 </t>
  </si>
  <si>
    <t>AoE Radius</t>
  </si>
  <si>
    <t>Макс Вес</t>
  </si>
  <si>
    <t>Мили урон</t>
  </si>
  <si>
    <t>Радиус Взрывов</t>
  </si>
  <si>
    <t>Сила крита</t>
  </si>
  <si>
    <t>( Default + Addition ) * Восприятие</t>
  </si>
  <si>
    <t>Projectile speed</t>
  </si>
  <si>
    <t>Скорость Бега</t>
  </si>
  <si>
    <t>Скорость снарядов</t>
  </si>
  <si>
    <t>Уворот</t>
  </si>
  <si>
    <t>Шанс крита</t>
  </si>
  <si>
    <t>Ultimate Multiplier</t>
  </si>
  <si>
    <t>Увеличение Опыта</t>
  </si>
  <si>
    <t>Сила маг урона</t>
  </si>
  <si>
    <t>Маг\Хил Криты</t>
  </si>
  <si>
    <t>Сила маг крита</t>
  </si>
  <si>
    <t>DPS</t>
  </si>
  <si>
    <t>Скорость Стрельбы</t>
  </si>
  <si>
    <t>АоЕ радиус</t>
  </si>
  <si>
    <t>Дальний урон</t>
  </si>
  <si>
    <t>Магнит расходок</t>
  </si>
  <si>
    <t>Количество мп</t>
  </si>
  <si>
    <t>Скорость регена</t>
  </si>
  <si>
    <t>Вампиризм</t>
  </si>
  <si>
    <t>Расход маны</t>
  </si>
  <si>
    <t>Сила хила</t>
  </si>
  <si>
    <t>Регенерация</t>
  </si>
  <si>
    <t>Сила ядов/дотов</t>
  </si>
  <si>
    <t>Скорость Тиков</t>
  </si>
  <si>
    <t>Количество хп</t>
  </si>
  <si>
    <t>Физ Маг Защита</t>
  </si>
  <si>
    <t>Вес</t>
  </si>
  <si>
    <t>Отталкивание</t>
  </si>
  <si>
    <t>Количество самонов</t>
  </si>
  <si>
    <t>Скорость самонов</t>
  </si>
  <si>
    <t>Сила самонов</t>
  </si>
  <si>
    <t>Усиление аур</t>
  </si>
  <si>
    <t>Жезл</t>
  </si>
  <si>
    <t>Скальпель</t>
  </si>
  <si>
    <t>Гитара</t>
  </si>
  <si>
    <t>Винтовка</t>
  </si>
  <si>
    <t>Отмычки</t>
  </si>
  <si>
    <t>Сферы</t>
  </si>
  <si>
    <t>Снайперка</t>
  </si>
  <si>
    <t>https://github.com/topics/brotato</t>
  </si>
  <si>
    <t>Книга</t>
  </si>
  <si>
    <t>Кость</t>
  </si>
  <si>
    <t>Руки</t>
  </si>
  <si>
    <t>Отвертка</t>
  </si>
  <si>
    <t>Турели (дальний урон)</t>
  </si>
  <si>
    <t>Роботы (мили масс)</t>
  </si>
  <si>
    <t>Создание Щита (+Защита)</t>
  </si>
  <si>
    <t>Хил Костюм (ХоТ)</t>
  </si>
  <si>
    <t>Ловушки</t>
  </si>
  <si>
    <t>Элементаль</t>
  </si>
  <si>
    <t>Аптекарь</t>
  </si>
  <si>
    <t>Алхимик</t>
  </si>
  <si>
    <t>Двуручный меч</t>
  </si>
  <si>
    <t>Теневые клинки</t>
  </si>
  <si>
    <t>Лук Ветра</t>
  </si>
  <si>
    <t>Свиток Лечения</t>
  </si>
  <si>
    <t>Ядомёт</t>
  </si>
  <si>
    <t>Меч и Щит</t>
  </si>
  <si>
    <t>Посох Леса</t>
  </si>
  <si>
    <t>Конусная атака 60 градусов радиус 200</t>
  </si>
  <si>
    <t>2 Конусные атаки 45% вперед и назад от игрока, радиус 150</t>
  </si>
  <si>
    <t>Пассивка +10% урона</t>
  </si>
  <si>
    <t>Пассивка +10% скорость атаки</t>
  </si>
  <si>
    <t>Ульта - Крутилка: Меч крутится вокруг игрока со скоростью х2 от скорости атаки вокруг себя и наносит 100% урона, радиус 200</t>
  </si>
  <si>
    <t>Ульта - Безумие: 
Увеличение конусов до 70 градусов, увеличение скорости атаки на 30%, увеличение крит шанса на 20%</t>
  </si>
  <si>
    <t>Двуручный топор</t>
  </si>
  <si>
    <t>Чакрамы</t>
  </si>
  <si>
    <t>Лунный арбалет</t>
  </si>
  <si>
    <t>Зелье восстановления</t>
  </si>
  <si>
    <t>Взрывная пыль</t>
  </si>
  <si>
    <t>Копье</t>
  </si>
  <si>
    <t>Амулет призыва</t>
  </si>
  <si>
    <t>Конусная атака 120 градусов радиус 200</t>
  </si>
  <si>
    <t>2 Вращающихся диска (1 оборот = скорость атаки / 2) радиус 40 вокруг игрока</t>
  </si>
  <si>
    <t>Пассивка -10% урона</t>
  </si>
  <si>
    <t>Пассивка 10% урона</t>
  </si>
  <si>
    <t>Ульта - Бросок Топора:
Топор летит Вперед и Назад наносит 300% урона дважды (когда летит в 1 сторону и когда возвращается назад), Ширина 200, скорость 500, Дальность 500</t>
  </si>
  <si>
    <t>Ульта - Ускорение:
Ускорения вращения х2 от текущего значения.</t>
  </si>
  <si>
    <t>Двуручный молот</t>
  </si>
  <si>
    <t>Ядовитые кинжалы</t>
  </si>
  <si>
    <t>Огненный Лук</t>
  </si>
  <si>
    <t>Маска вампиризма</t>
  </si>
  <si>
    <t>Электрическая трость</t>
  </si>
  <si>
    <t>Цеп</t>
  </si>
  <si>
    <t>Семя защиты</t>
  </si>
  <si>
    <t>АоЕ атака в виде круга перед собой радиус АоЕ - 200</t>
  </si>
  <si>
    <t>Конусная атака 60 градусов радиус 150, при поподании накладывает стак яда , который дамажит со скоростью ДоТ 30% от атаки, яды не критуют. Макс стаков 10. Каждый эффект яда делает 5 тиков</t>
  </si>
  <si>
    <t>Пассивка +20% радиус АоЕ</t>
  </si>
  <si>
    <t>Пассивка +10 ДоТ урон - 10 Физ урона</t>
  </si>
  <si>
    <t>Ульта - Удар молота:
4 Аоешки в 4 стороны, кастуется три раза со скоростью атаки 100% урон, радиус 200</t>
  </si>
  <si>
    <t>Ульта - Мастер ядов: 
Все удары накладывают макс количество стаков за удар</t>
  </si>
  <si>
    <t>Пассивки Класса</t>
  </si>
  <si>
    <t>Gigapenis Gaming</t>
  </si>
  <si>
    <t>Время</t>
  </si>
  <si>
    <t>Стас С</t>
  </si>
  <si>
    <t>Персонаж</t>
  </si>
  <si>
    <t>Стас К</t>
  </si>
  <si>
    <t>Интерфейс + Меню + Экраны + Карта</t>
  </si>
  <si>
    <t>ГитЛаб + Проект на МИРО</t>
  </si>
  <si>
    <t>Ваня Д</t>
  </si>
  <si>
    <t>Монстры</t>
  </si>
  <si>
    <t>Леха</t>
  </si>
  <si>
    <t>Предметы</t>
  </si>
  <si>
    <t>Фома</t>
  </si>
  <si>
    <t>Модельки + Механики + Предметы</t>
  </si>
  <si>
    <t>Comment</t>
  </si>
  <si>
    <t>Trainings</t>
  </si>
  <si>
    <t>создание уровня сцены возможно случайные преграды</t>
  </si>
  <si>
    <t>случайно генерировать "ямы" и "колоны"</t>
  </si>
  <si>
    <t>Ваня Демьянов</t>
  </si>
  <si>
    <t>генерация босс арены (без скроллинга)</t>
  </si>
  <si>
    <t>Создание прямоугольной арены</t>
  </si>
  <si>
    <t>генерация случайных монстров в случайных местах</t>
  </si>
  <si>
    <t>Генерация спавнов монстров</t>
  </si>
  <si>
    <t>Милишники которые бегу в игрока</t>
  </si>
  <si>
    <t>Стас Стреж</t>
  </si>
  <si>
    <t>Рэндж которые стреляют в игрока и двигаются медленно от игрока до определенной дистанции</t>
  </si>
  <si>
    <t>Чарджеры которые сукоряются на определенном радиусе в игрока</t>
  </si>
  <si>
    <t xml:space="preserve">Жирные мобы </t>
  </si>
  <si>
    <t>Матрешка Клоны 1-2-4</t>
  </si>
  <si>
    <t>движение монстров к игроку или случайно</t>
  </si>
  <si>
    <t>Мили на игрока</t>
  </si>
  <si>
    <t>Урон у монстров (параметры)</t>
  </si>
  <si>
    <t>Рендж держутся на дистанции 250-300 и стреляют только там</t>
  </si>
  <si>
    <t>чарджеры влетают на дистанции 100-150</t>
  </si>
  <si>
    <t>Игрок</t>
  </si>
  <si>
    <t>Движение игрока по 4 координатам</t>
  </si>
  <si>
    <t>Автоатака в ближайшего монстра или по прицелу (вектор на прицел)</t>
  </si>
  <si>
    <t>Класс Мили</t>
  </si>
  <si>
    <t>Стас Кирьянов</t>
  </si>
  <si>
    <t>Берсерк согласно механикам на странице 1</t>
  </si>
  <si>
    <t>Урон у игрока (параметры)</t>
  </si>
  <si>
    <t>Классовые механики и формулы</t>
  </si>
  <si>
    <t>Определение механик и формул</t>
  </si>
  <si>
    <t>Сергей</t>
  </si>
  <si>
    <t>урон по монстрам и игроку</t>
  </si>
  <si>
    <t>Получение урона (боксы)</t>
  </si>
  <si>
    <t>Нанесение урона (боксы)</t>
  </si>
  <si>
    <t>Проджектайлы (боксы)</t>
  </si>
  <si>
    <t>Взрыва и анимации</t>
  </si>
  <si>
    <t>Звуки</t>
  </si>
  <si>
    <t>модификаторы для урона и механика защиты и уворотов</t>
  </si>
  <si>
    <t xml:space="preserve">Защитные механики </t>
  </si>
  <si>
    <t xml:space="preserve">Увороты </t>
  </si>
  <si>
    <t>Вампирик</t>
  </si>
  <si>
    <t>Регенирация</t>
  </si>
  <si>
    <t>Тики ауры</t>
  </si>
  <si>
    <t>подбор опыта и расходок, выпадение вещей из монстров</t>
  </si>
  <si>
    <t>Опыт / Бабки дроп с мобов</t>
  </si>
  <si>
    <t>Поднятие опыта на радиусе х (Радиус подбора = радиус ауры)</t>
  </si>
  <si>
    <t>Таймер и завершение раунда</t>
  </si>
  <si>
    <t>Динамический, зависит от количества пройденных этапов 30сек + 5 за проходку</t>
  </si>
  <si>
    <t>смерть игрока</t>
  </si>
  <si>
    <t>MVP</t>
  </si>
  <si>
    <t>Гитарист</t>
  </si>
  <si>
    <t>Враг1</t>
  </si>
  <si>
    <t>Мили</t>
  </si>
  <si>
    <t>Бич</t>
  </si>
  <si>
    <t>Урон в мили</t>
  </si>
  <si>
    <t>Оружие</t>
  </si>
  <si>
    <t>Враг2</t>
  </si>
  <si>
    <t>Стрелок</t>
  </si>
  <si>
    <t>Стреляет</t>
  </si>
  <si>
    <t>Враг3</t>
  </si>
  <si>
    <t>Самонер</t>
  </si>
  <si>
    <t xml:space="preserve">Стреляет </t>
  </si>
  <si>
    <t>Призывает</t>
  </si>
  <si>
    <t>Физ урон</t>
  </si>
  <si>
    <t>Физ Крит Шанс</t>
  </si>
  <si>
    <t>Физ Крит Урон</t>
  </si>
  <si>
    <t xml:space="preserve">Экран выбора персонажа </t>
  </si>
  <si>
    <t>Скорость атаки</t>
  </si>
  <si>
    <t>Экран выбора оружия</t>
  </si>
  <si>
    <t>Маг урон</t>
  </si>
  <si>
    <t>Экран игры</t>
  </si>
  <si>
    <t>Вдохновение</t>
  </si>
  <si>
    <t>Маг крит шанс</t>
  </si>
  <si>
    <t>Экран ЛвлАп</t>
  </si>
  <si>
    <t>Маг крит сила</t>
  </si>
  <si>
    <t>Экран магазина</t>
  </si>
  <si>
    <t>Экран смерти</t>
  </si>
  <si>
    <t>Экран победы</t>
  </si>
  <si>
    <t>Скорость бега</t>
  </si>
  <si>
    <t>Физ Защита</t>
  </si>
  <si>
    <t>Маг Защита</t>
  </si>
  <si>
    <t>Снижение урона</t>
  </si>
  <si>
    <t>Хп</t>
  </si>
  <si>
    <t>Дальность выстрела</t>
  </si>
  <si>
    <t>Реген хп</t>
  </si>
  <si>
    <t>Скорость тиков</t>
  </si>
  <si>
    <t>Скорость Ауры</t>
  </si>
  <si>
    <t>Радиус Аур</t>
  </si>
  <si>
    <t>Сила Бафов</t>
  </si>
  <si>
    <t>Радиус АоЕ</t>
  </si>
  <si>
    <t>Сила ульты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</si>
</sst>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#,##0.000"/>
  </numFmts>
  <fonts count="17">
    <font>
      <sz val="10.0"/>
      <color rgb="FF000000"/>
      <name val="Arial"/>
      <scheme val="minor"/>
    </font>
    <font>
      <b/>
      <sz val="16.0"/>
      <color rgb="FF000000"/>
      <name val="Calibri"/>
    </font>
    <font>
      <color theme="1"/>
      <name val="Arial"/>
      <scheme val="minor"/>
    </font>
    <font>
      <b/>
      <color rgb="FF000000"/>
      <name val="Calibri"/>
    </font>
    <font>
      <b/>
      <sz val="10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i/>
      <sz val="11.0"/>
      <color rgb="FF000000"/>
      <name val="Calibri"/>
    </font>
    <font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  <font>
      <u/>
      <color rgb="FF0000FF"/>
    </font>
    <font>
      <b/>
      <sz val="19.0"/>
      <color rgb="FF000000"/>
      <name val="Calibri"/>
    </font>
    <font>
      <b/>
      <sz val="12.0"/>
      <color rgb="FF000000"/>
      <name val="Calibri"/>
    </font>
    <font>
      <b/>
      <color theme="1"/>
      <name val="Calibri"/>
    </font>
    <font>
      <b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7" fontId="4" numFmtId="0" xfId="0" applyAlignment="1" applyFont="1">
      <alignment readingOrder="0" shrinkToFit="0" vertical="bottom" wrapText="0"/>
    </xf>
    <xf borderId="0" fillId="5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0"/>
    </xf>
    <xf borderId="0" fillId="0" fontId="2" numFmtId="4" xfId="0" applyAlignment="1" applyFont="1" applyNumberFormat="1">
      <alignment horizontal="right" readingOrder="0"/>
    </xf>
    <xf borderId="0" fillId="5" fontId="2" numFmtId="4" xfId="0" applyFont="1" applyNumberFormat="1"/>
    <xf borderId="0" fillId="10" fontId="6" numFmtId="0" xfId="0" applyAlignment="1" applyFill="1" applyFont="1">
      <alignment readingOrder="0" shrinkToFit="0" vertical="bottom" wrapText="0"/>
    </xf>
    <xf borderId="0" fillId="10" fontId="2" numFmtId="4" xfId="0" applyAlignment="1" applyFont="1" applyNumberFormat="1">
      <alignment horizontal="right" readingOrder="0"/>
    </xf>
    <xf borderId="0" fillId="10" fontId="2" numFmtId="4" xfId="0" applyFont="1" applyNumberFormat="1"/>
    <xf borderId="0" fillId="0" fontId="7" numFmtId="0" xfId="0" applyAlignment="1" applyFont="1">
      <alignment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0" fillId="3" fontId="3" numFmtId="9" xfId="0" applyAlignment="1" applyFont="1" applyNumberFormat="1">
      <alignment readingOrder="0" shrinkToFit="0" vertical="bottom" wrapText="0"/>
    </xf>
    <xf borderId="0" fillId="4" fontId="3" numFmtId="9" xfId="0" applyAlignment="1" applyFont="1" applyNumberFormat="1">
      <alignment readingOrder="0" shrinkToFit="0" vertical="bottom" wrapText="0"/>
    </xf>
    <xf borderId="0" fillId="5" fontId="3" numFmtId="9" xfId="0" applyAlignment="1" applyFont="1" applyNumberFormat="1">
      <alignment readingOrder="0" shrinkToFit="0" vertical="bottom" wrapText="0"/>
    </xf>
    <xf borderId="0" fillId="6" fontId="3" numFmtId="9" xfId="0" applyAlignment="1" applyFont="1" applyNumberFormat="1">
      <alignment readingOrder="0" shrinkToFit="0" vertical="bottom" wrapText="0"/>
    </xf>
    <xf borderId="0" fillId="0" fontId="2" numFmtId="9" xfId="0" applyAlignment="1" applyFont="1" applyNumberFormat="1">
      <alignment horizontal="right" readingOrder="0"/>
    </xf>
    <xf borderId="0" fillId="5" fontId="2" numFmtId="9" xfId="0" applyFont="1" applyNumberFormat="1"/>
    <xf borderId="0" fillId="10" fontId="2" numFmtId="9" xfId="0" applyAlignment="1" applyFont="1" applyNumberFormat="1">
      <alignment horizontal="right" readingOrder="0"/>
    </xf>
    <xf borderId="0" fillId="10" fontId="2" numFmtId="9" xfId="0" applyFont="1" applyNumberFormat="1"/>
    <xf borderId="0" fillId="4" fontId="3" numFmtId="164" xfId="0" applyAlignment="1" applyFont="1" applyNumberFormat="1">
      <alignment readingOrder="0" shrinkToFit="0" vertical="bottom" wrapText="0"/>
    </xf>
    <xf borderId="0" fillId="6" fontId="3" numFmtId="164" xfId="0" applyAlignment="1" applyFont="1" applyNumberForma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2" fontId="3" numFmtId="1" xfId="0" applyAlignment="1" applyFont="1" applyNumberFormat="1">
      <alignment readingOrder="0" shrinkToFit="0" vertical="bottom" wrapText="0"/>
    </xf>
    <xf borderId="0" fillId="4" fontId="3" numFmtId="1" xfId="0" applyAlignment="1" applyFont="1" applyNumberFormat="1">
      <alignment readingOrder="0" shrinkToFit="0" vertical="bottom" wrapText="0"/>
    </xf>
    <xf borderId="0" fillId="6" fontId="3" numFmtId="1" xfId="0" applyAlignment="1" applyFont="1" applyNumberFormat="1">
      <alignment readingOrder="0" shrinkToFit="0" vertical="bottom" wrapText="0"/>
    </xf>
    <xf borderId="0" fillId="0" fontId="2" numFmtId="0" xfId="0" applyFont="1"/>
    <xf borderId="4" fillId="0" fontId="2" numFmtId="0" xfId="0" applyBorder="1" applyFont="1"/>
    <xf borderId="4" fillId="0" fontId="2" numFmtId="0" xfId="0" applyAlignment="1" applyBorder="1" applyFont="1">
      <alignment readingOrder="0"/>
    </xf>
    <xf borderId="0" fillId="0" fontId="2" numFmtId="0" xfId="0" applyAlignment="1" applyFont="1">
      <alignment horizontal="right" readingOrder="0" vertical="center"/>
    </xf>
    <xf borderId="0" fillId="10" fontId="2" numFmtId="0" xfId="0" applyAlignment="1" applyFont="1">
      <alignment horizontal="right" readingOrder="0" vertical="center"/>
    </xf>
    <xf borderId="3" fillId="11" fontId="9" numFmtId="0" xfId="0" applyAlignment="1" applyBorder="1" applyFill="1" applyFont="1">
      <alignment vertical="bottom"/>
    </xf>
    <xf borderId="4" fillId="11" fontId="9" numFmtId="0" xfId="0" applyAlignment="1" applyBorder="1" applyFont="1">
      <alignment vertical="bottom"/>
    </xf>
    <xf borderId="0" fillId="10" fontId="2" numFmtId="0" xfId="0" applyAlignment="1" applyFont="1">
      <alignment readingOrder="0"/>
    </xf>
    <xf borderId="0" fillId="10" fontId="2" numFmtId="0" xfId="0" applyFont="1"/>
    <xf borderId="3" fillId="12" fontId="9" numFmtId="0" xfId="0" applyAlignment="1" applyBorder="1" applyFill="1" applyFont="1">
      <alignment vertical="bottom"/>
    </xf>
    <xf borderId="4" fillId="12" fontId="9" numFmtId="0" xfId="0" applyAlignment="1" applyBorder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1" numFmtId="4" xfId="0" applyAlignment="1" applyFont="1" applyNumberFormat="1">
      <alignment horizontal="right" readingOrder="0" vertical="bottom"/>
    </xf>
    <xf borderId="0" fillId="5" fontId="11" numFmtId="165" xfId="0" applyAlignment="1" applyFont="1" applyNumberFormat="1">
      <alignment horizontal="right" vertical="bottom"/>
    </xf>
    <xf borderId="0" fillId="10" fontId="10" numFmtId="0" xfId="0" applyAlignment="1" applyFont="1">
      <alignment readingOrder="0" vertical="bottom"/>
    </xf>
    <xf borderId="0" fillId="10" fontId="11" numFmtId="4" xfId="0" applyAlignment="1" applyFont="1" applyNumberFormat="1">
      <alignment horizontal="right" readingOrder="0" vertical="bottom"/>
    </xf>
    <xf borderId="0" fillId="10" fontId="11" numFmtId="165" xfId="0" applyAlignment="1" applyFont="1" applyNumberFormat="1">
      <alignment horizontal="right" vertical="bottom"/>
    </xf>
    <xf borderId="6" fillId="0" fontId="5" numFmtId="0" xfId="0" applyAlignment="1" applyBorder="1" applyFont="1">
      <alignment readingOrder="0" shrinkToFit="0" vertical="bottom" wrapText="0"/>
    </xf>
    <xf borderId="7" fillId="0" fontId="8" numFmtId="0" xfId="0" applyAlignment="1" applyBorder="1" applyFont="1">
      <alignment horizontal="right" readingOrder="0" shrinkToFit="0" vertical="bottom" wrapText="0"/>
    </xf>
    <xf borderId="8" fillId="0" fontId="8" numFmtId="0" xfId="0" applyAlignment="1" applyBorder="1" applyFont="1">
      <alignment horizontal="right" readingOrder="0" shrinkToFit="0" vertical="bottom" wrapText="0"/>
    </xf>
    <xf borderId="0" fillId="0" fontId="10" numFmtId="0" xfId="0" applyAlignment="1" applyFont="1">
      <alignment vertical="bottom"/>
    </xf>
    <xf borderId="0" fillId="5" fontId="11" numFmtId="4" xfId="0" applyAlignment="1" applyFont="1" applyNumberFormat="1">
      <alignment vertical="bottom"/>
    </xf>
    <xf borderId="0" fillId="10" fontId="10" numFmtId="0" xfId="0" applyAlignment="1" applyFont="1">
      <alignment vertical="bottom"/>
    </xf>
    <xf borderId="0" fillId="10" fontId="11" numFmtId="4" xfId="0" applyAlignment="1" applyFont="1" applyNumberFormat="1">
      <alignment vertical="bottom"/>
    </xf>
    <xf borderId="0" fillId="0" fontId="8" numFmtId="0" xfId="0" applyAlignment="1" applyFont="1">
      <alignment horizontal="right" readingOrder="0" shrinkToFit="0" vertical="bottom" wrapText="0"/>
    </xf>
    <xf borderId="3" fillId="0" fontId="9" numFmtId="0" xfId="0" applyAlignment="1" applyBorder="1" applyFont="1">
      <alignment vertical="bottom"/>
    </xf>
    <xf borderId="0" fillId="0" fontId="2" numFmtId="4" xfId="0" applyFont="1" applyNumberFormat="1"/>
    <xf borderId="4" fillId="0" fontId="9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10" fontId="10" numFmtId="0" xfId="0" applyAlignment="1" applyFont="1">
      <alignment vertical="bottom"/>
    </xf>
    <xf borderId="0" fillId="10" fontId="11" numFmtId="0" xfId="0" applyAlignment="1" applyFont="1">
      <alignment vertical="bottom"/>
    </xf>
    <xf borderId="3" fillId="0" fontId="9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0" fillId="0" fontId="2" numFmtId="2" xfId="0" applyFont="1" applyNumberFormat="1"/>
    <xf borderId="0" fillId="10" fontId="2" numFmtId="2" xfId="0" applyFont="1" applyNumberFormat="1"/>
    <xf borderId="0" fillId="0" fontId="9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12" numFmtId="0" xfId="0" applyAlignment="1" applyFont="1">
      <alignment readingOrder="0"/>
    </xf>
    <xf borderId="6" fillId="0" fontId="5" numFmtId="0" xfId="0" applyAlignment="1" applyBorder="1" applyFont="1">
      <alignment readingOrder="0" shrinkToFit="0" vertical="bottom" wrapText="0"/>
    </xf>
    <xf borderId="7" fillId="0" fontId="5" numFmtId="0" xfId="0" applyAlignment="1" applyBorder="1" applyFont="1">
      <alignment readingOrder="0" shrinkToFit="0" vertical="bottom" wrapText="0"/>
    </xf>
    <xf borderId="8" fillId="0" fontId="5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4" fillId="0" fontId="13" numFmtId="0" xfId="0" applyAlignment="1" applyBorder="1" applyFont="1">
      <alignment readingOrder="0" shrinkToFit="0" vertical="bottom" wrapText="0"/>
    </xf>
    <xf borderId="0" fillId="13" fontId="14" numFmtId="0" xfId="0" applyAlignment="1" applyFill="1" applyFont="1">
      <alignment readingOrder="0" shrinkToFit="0" vertical="bottom" wrapText="1"/>
    </xf>
    <xf borderId="0" fillId="13" fontId="3" numFmtId="0" xfId="0" applyAlignment="1" applyFont="1">
      <alignment readingOrder="0" shrinkToFit="0" vertical="bottom" wrapText="1"/>
    </xf>
    <xf borderId="0" fillId="14" fontId="14" numFmtId="0" xfId="0" applyAlignment="1" applyFill="1" applyFont="1">
      <alignment readingOrder="0" shrinkToFit="0" vertical="bottom" wrapText="1"/>
    </xf>
    <xf borderId="0" fillId="14" fontId="3" numFmtId="0" xfId="0" applyAlignment="1" applyFont="1">
      <alignment readingOrder="0" shrinkToFit="0" vertical="bottom" wrapText="1"/>
    </xf>
    <xf borderId="0" fillId="5" fontId="14" numFmtId="0" xfId="0" applyAlignment="1" applyFont="1">
      <alignment readingOrder="0" shrinkToFit="0" vertical="bottom" wrapText="1"/>
    </xf>
    <xf borderId="0" fillId="5" fontId="3" numFmtId="0" xfId="0" applyAlignment="1" applyFont="1">
      <alignment readingOrder="0" shrinkToFit="0" vertical="bottom" wrapText="1"/>
    </xf>
    <xf borderId="0" fillId="5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readingOrder="0"/>
    </xf>
    <xf borderId="9" fillId="9" fontId="2" numFmtId="0" xfId="0" applyBorder="1" applyFont="1"/>
    <xf borderId="9" fillId="9" fontId="2" numFmtId="0" xfId="0" applyAlignment="1" applyBorder="1" applyFont="1">
      <alignment horizontal="left" readingOrder="0"/>
    </xf>
    <xf borderId="9" fillId="0" fontId="2" numFmtId="0" xfId="0" applyBorder="1" applyFont="1"/>
    <xf borderId="0" fillId="9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15" fontId="2" numFmtId="0" xfId="0" applyAlignment="1" applyFill="1" applyFont="1">
      <alignment readingOrder="0"/>
    </xf>
    <xf borderId="0" fillId="7" fontId="2" numFmtId="0" xfId="0" applyAlignment="1" applyFont="1">
      <alignment readingOrder="0"/>
    </xf>
    <xf borderId="0" fillId="16" fontId="2" numFmtId="0" xfId="0" applyAlignment="1" applyFill="1" applyFont="1">
      <alignment readingOrder="0"/>
    </xf>
    <xf borderId="1" fillId="0" fontId="2" numFmtId="0" xfId="0" applyBorder="1" applyFont="1"/>
    <xf borderId="5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3" fillId="0" fontId="6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2" numFmtId="0" xfId="0" applyAlignment="1" applyBorder="1" applyFont="1">
      <alignment readingOrder="0"/>
    </xf>
    <xf borderId="4" fillId="17" fontId="6" numFmtId="0" xfId="0" applyAlignment="1" applyBorder="1" applyFill="1" applyFont="1">
      <alignment readingOrder="0" shrinkToFit="0" vertical="bottom" wrapText="0"/>
    </xf>
    <xf borderId="4" fillId="18" fontId="6" numFmtId="0" xfId="0" applyAlignment="1" applyBorder="1" applyFill="1" applyFont="1">
      <alignment readingOrder="0" shrinkToFit="0" vertical="bottom" wrapText="0"/>
    </xf>
    <xf borderId="4" fillId="0" fontId="16" numFmtId="0" xfId="0" applyAlignment="1" applyBorder="1" applyFont="1">
      <alignment readingOrder="0"/>
    </xf>
    <xf borderId="8" fillId="0" fontId="10" numFmtId="0" xfId="0" applyAlignment="1" applyBorder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Balance Sheet-style">
      <tableStyleElement dxfId="1" type="headerRow"/>
      <tableStyleElement dxfId="2" type="firstRowStripe"/>
      <tableStyleElement dxfId="3" type="secondRowStripe"/>
    </tableStyle>
    <tableStyle count="2" pivot="0" name="Class Sheet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M43" displayName="Table_1" name="Table_1" id="1">
  <tableColumns count="6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</tableColumns>
  <tableStyleInfo name="Balance She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H14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lass 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opics/brotato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40.25"/>
    <col customWidth="1" min="18" max="18" width="24.63"/>
    <col customWidth="1" min="19" max="19" width="7.88"/>
    <col customWidth="1" min="20" max="20" width="9.0"/>
    <col customWidth="1" min="21" max="21" width="10.25"/>
    <col customWidth="1" min="22" max="22" width="21.5"/>
    <col customWidth="1" min="25" max="25" width="11.38"/>
    <col customWidth="1" min="26" max="26" width="10.25"/>
    <col customWidth="1" min="27" max="27" width="12.25"/>
    <col customWidth="1" min="28" max="28" width="10.25"/>
    <col customWidth="1" min="29" max="29" width="12.13"/>
    <col customWidth="1" min="30" max="31" width="10.25"/>
    <col customWidth="1" min="32" max="32" width="15.25"/>
    <col customWidth="1" min="33" max="33" width="12.88"/>
    <col customWidth="1" min="34" max="35" width="13.38"/>
    <col customWidth="1" min="36" max="36" width="11.0"/>
    <col customWidth="1" min="37" max="37" width="11.25"/>
    <col customWidth="1" min="38" max="38" width="21.75"/>
    <col customWidth="1" min="50" max="50" width="1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 t="s">
        <v>1</v>
      </c>
      <c r="P1" s="3" t="s">
        <v>2</v>
      </c>
      <c r="Q1" s="4" t="s">
        <v>3</v>
      </c>
      <c r="R1" s="5" t="s">
        <v>4</v>
      </c>
      <c r="S1" s="5" t="s">
        <v>5</v>
      </c>
      <c r="T1" s="5" t="s">
        <v>6</v>
      </c>
      <c r="U1" s="6" t="s">
        <v>7</v>
      </c>
      <c r="V1" s="7" t="s">
        <v>4</v>
      </c>
      <c r="W1" s="7" t="s">
        <v>5</v>
      </c>
      <c r="X1" s="7" t="s">
        <v>6</v>
      </c>
      <c r="Y1" s="8" t="s">
        <v>8</v>
      </c>
      <c r="Z1" s="9" t="s">
        <v>4</v>
      </c>
      <c r="AA1" s="9" t="s">
        <v>5</v>
      </c>
      <c r="AB1" s="9" t="s">
        <v>6</v>
      </c>
      <c r="AC1" s="10" t="s">
        <v>9</v>
      </c>
      <c r="AD1" s="7" t="s">
        <v>4</v>
      </c>
      <c r="AE1" s="7" t="s">
        <v>5</v>
      </c>
      <c r="AF1" s="7" t="s">
        <v>6</v>
      </c>
      <c r="AG1" s="7" t="s">
        <v>10</v>
      </c>
      <c r="AH1" s="11" t="s">
        <v>4</v>
      </c>
      <c r="AI1" s="11" t="s">
        <v>5</v>
      </c>
      <c r="AJ1" s="11" t="s">
        <v>6</v>
      </c>
      <c r="AK1" s="11" t="s">
        <v>11</v>
      </c>
      <c r="AL1" s="11" t="s">
        <v>4</v>
      </c>
      <c r="AM1" s="11" t="s">
        <v>5</v>
      </c>
      <c r="AN1" s="11" t="s">
        <v>6</v>
      </c>
      <c r="AO1" s="11" t="s">
        <v>12</v>
      </c>
      <c r="AP1" s="5" t="s">
        <v>4</v>
      </c>
      <c r="AQ1" s="5" t="s">
        <v>5</v>
      </c>
      <c r="AR1" s="5" t="s">
        <v>6</v>
      </c>
      <c r="AS1" s="5" t="s">
        <v>13</v>
      </c>
      <c r="AT1" s="5" t="s">
        <v>4</v>
      </c>
      <c r="AU1" s="5" t="s">
        <v>5</v>
      </c>
      <c r="AV1" s="5" t="s">
        <v>6</v>
      </c>
      <c r="AW1" s="9" t="s">
        <v>14</v>
      </c>
      <c r="AX1" s="5" t="s">
        <v>4</v>
      </c>
      <c r="AY1" s="5" t="s">
        <v>5</v>
      </c>
      <c r="AZ1" s="5" t="s">
        <v>6</v>
      </c>
      <c r="BA1" s="12" t="s">
        <v>15</v>
      </c>
      <c r="BB1" s="13" t="s">
        <v>4</v>
      </c>
      <c r="BC1" s="13" t="s">
        <v>5</v>
      </c>
      <c r="BD1" s="13" t="s">
        <v>6</v>
      </c>
      <c r="BE1" s="13" t="s">
        <v>16</v>
      </c>
      <c r="BF1" s="14" t="s">
        <v>4</v>
      </c>
      <c r="BG1" s="14" t="s">
        <v>5</v>
      </c>
      <c r="BH1" s="14" t="s">
        <v>6</v>
      </c>
      <c r="BI1" s="14" t="s">
        <v>17</v>
      </c>
      <c r="BJ1" s="11" t="s">
        <v>4</v>
      </c>
      <c r="BK1" s="11" t="s">
        <v>5</v>
      </c>
      <c r="BL1" s="11" t="s">
        <v>6</v>
      </c>
      <c r="BM1" s="11" t="s">
        <v>18</v>
      </c>
    </row>
    <row r="2">
      <c r="A2" s="2"/>
      <c r="B2" s="15" t="s">
        <v>19</v>
      </c>
      <c r="C2" s="15" t="s">
        <v>20</v>
      </c>
      <c r="D2" s="15" t="s">
        <v>21</v>
      </c>
      <c r="E2" s="15" t="s">
        <v>22</v>
      </c>
      <c r="F2" s="15" t="s">
        <v>23</v>
      </c>
      <c r="G2" s="15" t="s">
        <v>24</v>
      </c>
      <c r="H2" s="15" t="s">
        <v>25</v>
      </c>
      <c r="I2" s="15" t="s">
        <v>26</v>
      </c>
      <c r="K2" s="15"/>
      <c r="L2" s="15"/>
      <c r="M2" s="15"/>
      <c r="N2" s="15"/>
      <c r="O2" s="16" t="s">
        <v>27</v>
      </c>
      <c r="P2" s="17" t="s">
        <v>28</v>
      </c>
      <c r="Q2" s="18" t="s">
        <v>29</v>
      </c>
      <c r="R2" s="5" t="s">
        <v>30</v>
      </c>
      <c r="S2" s="5">
        <v>15.0</v>
      </c>
      <c r="T2" s="5">
        <v>0.0</v>
      </c>
      <c r="U2" s="6">
        <f>S$2*(B11/10)+T$2*(B11/10)</f>
        <v>15</v>
      </c>
      <c r="V2" s="7" t="s">
        <v>30</v>
      </c>
      <c r="W2" s="7">
        <v>10.0</v>
      </c>
      <c r="X2" s="7">
        <v>0.0</v>
      </c>
      <c r="Y2" s="8">
        <f>W$2*C11/10+X$2*C11/10</f>
        <v>6</v>
      </c>
      <c r="Z2" s="9" t="s">
        <v>30</v>
      </c>
      <c r="AA2" s="9">
        <v>10.0</v>
      </c>
      <c r="AB2" s="9">
        <v>0.0</v>
      </c>
      <c r="AC2" s="10">
        <f>AA$2*(10*G11/100)+AB$2*(30*G11/100)</f>
        <v>6</v>
      </c>
      <c r="AD2" s="19" t="s">
        <v>30</v>
      </c>
      <c r="AE2" s="20">
        <v>10.0</v>
      </c>
      <c r="AF2" s="20">
        <v>0.0</v>
      </c>
      <c r="AG2" s="21">
        <f>$S$2*(10*E11/100)+$T$2*(30*E11/100)</f>
        <v>9</v>
      </c>
      <c r="AH2" s="19" t="s">
        <v>30</v>
      </c>
      <c r="AI2" s="20">
        <v>10.0</v>
      </c>
      <c r="AJ2" s="20">
        <v>0.0</v>
      </c>
      <c r="AK2" s="21">
        <f>$S$2*(10*F11/100)+$T$2*(30*F11/100)</f>
        <v>3</v>
      </c>
      <c r="AL2" s="19" t="s">
        <v>30</v>
      </c>
      <c r="AM2" s="20">
        <v>10.0</v>
      </c>
      <c r="AN2" s="20">
        <v>0.0</v>
      </c>
      <c r="AO2" s="21">
        <f>$S$2*(10*G11/100)+$T$2*(30*G11/100)</f>
        <v>9</v>
      </c>
      <c r="AP2" s="19" t="s">
        <v>30</v>
      </c>
      <c r="AQ2" s="20">
        <v>10.0</v>
      </c>
      <c r="AR2" s="20">
        <v>0.0</v>
      </c>
      <c r="AS2" s="21">
        <f>$S$2*(10*H11/100)+$T$2*(30*H11/100)</f>
        <v>12</v>
      </c>
      <c r="AT2" s="19" t="s">
        <v>30</v>
      </c>
      <c r="AU2" s="20">
        <v>10.0</v>
      </c>
      <c r="AV2" s="20">
        <v>0.0</v>
      </c>
      <c r="AW2" s="21">
        <f>$S$2*(10*I11/100)+$T$2*(30*I11/100)</f>
        <v>6</v>
      </c>
      <c r="AX2" s="22" t="s">
        <v>30</v>
      </c>
      <c r="AY2" s="23">
        <v>10.0</v>
      </c>
      <c r="AZ2" s="23">
        <v>0.0</v>
      </c>
      <c r="BA2" s="24">
        <f>$S$2*(10*J11/100)+$T$2*(30*J11/100)</f>
        <v>0</v>
      </c>
      <c r="BB2" s="22" t="s">
        <v>30</v>
      </c>
      <c r="BC2" s="23">
        <v>10.0</v>
      </c>
      <c r="BD2" s="23">
        <v>0.0</v>
      </c>
      <c r="BE2" s="24">
        <f>$S$2*(10*K11/100)+$T$2*(30*K11/100)</f>
        <v>7.5</v>
      </c>
      <c r="BF2" s="22" t="s">
        <v>30</v>
      </c>
      <c r="BG2" s="23">
        <v>10.0</v>
      </c>
      <c r="BH2" s="23">
        <v>0.0</v>
      </c>
      <c r="BI2" s="24">
        <f>$S$2*(10*L11/100)+$T$2*(30*L11/100)</f>
        <v>3</v>
      </c>
      <c r="BJ2" s="22" t="s">
        <v>30</v>
      </c>
      <c r="BK2" s="23">
        <v>10.0</v>
      </c>
      <c r="BL2" s="23">
        <v>0.0</v>
      </c>
      <c r="BM2" s="24">
        <f>$S$2*(10*M11/100)+$T$2*(30*M11/100)</f>
        <v>4.5</v>
      </c>
    </row>
    <row r="3">
      <c r="A3" s="2"/>
      <c r="B3" s="25" t="s">
        <v>31</v>
      </c>
      <c r="C3" s="25" t="s">
        <v>32</v>
      </c>
      <c r="D3" s="25" t="s">
        <v>33</v>
      </c>
      <c r="E3" s="25" t="s">
        <v>34</v>
      </c>
      <c r="F3" s="25" t="s">
        <v>35</v>
      </c>
      <c r="G3" s="25" t="s">
        <v>36</v>
      </c>
      <c r="H3" s="25" t="s">
        <v>37</v>
      </c>
      <c r="I3" s="25" t="s">
        <v>38</v>
      </c>
      <c r="K3" s="15"/>
      <c r="L3" s="15"/>
      <c r="M3" s="15"/>
      <c r="N3" s="15"/>
      <c r="O3" s="26" t="s">
        <v>39</v>
      </c>
      <c r="P3" s="27" t="s">
        <v>40</v>
      </c>
      <c r="Q3" s="18" t="s">
        <v>41</v>
      </c>
      <c r="R3" s="5" t="s">
        <v>42</v>
      </c>
      <c r="S3" s="28">
        <v>0.05</v>
      </c>
      <c r="T3" s="28">
        <v>0.0</v>
      </c>
      <c r="U3" s="29">
        <f>B12/100+T3+S3</f>
        <v>0.1</v>
      </c>
      <c r="V3" s="7" t="s">
        <v>42</v>
      </c>
      <c r="W3" s="30">
        <v>0.05</v>
      </c>
      <c r="X3" s="30">
        <v>0.0</v>
      </c>
      <c r="Y3" s="31">
        <f>W3+C12/100+X3</f>
        <v>0.14</v>
      </c>
      <c r="Z3" s="9" t="s">
        <v>42</v>
      </c>
      <c r="AA3" s="9">
        <v>0.0</v>
      </c>
      <c r="AB3" s="9">
        <v>0.0</v>
      </c>
      <c r="AC3" s="10">
        <f>AA3+G12/100+AB$3*(10*G12/100)</f>
        <v>0.02</v>
      </c>
      <c r="AD3" s="19" t="s">
        <v>42</v>
      </c>
      <c r="AE3" s="32">
        <v>0.0</v>
      </c>
      <c r="AF3" s="32">
        <v>0.0</v>
      </c>
      <c r="AG3" s="33">
        <f>E12/100+$T$3*(10*E12/100)</f>
        <v>0.08</v>
      </c>
      <c r="AH3" s="19" t="s">
        <v>42</v>
      </c>
      <c r="AI3" s="32">
        <v>0.0</v>
      </c>
      <c r="AJ3" s="32">
        <v>0.0</v>
      </c>
      <c r="AK3" s="33">
        <f>F12/100+$T$3*(10*F12/100)</f>
        <v>0.03</v>
      </c>
      <c r="AL3" s="19" t="s">
        <v>42</v>
      </c>
      <c r="AM3" s="32">
        <v>0.0</v>
      </c>
      <c r="AN3" s="32">
        <v>0.0</v>
      </c>
      <c r="AO3" s="33">
        <f>G12/100+$T$3*(10*G12/100)</f>
        <v>0.02</v>
      </c>
      <c r="AP3" s="19" t="s">
        <v>42</v>
      </c>
      <c r="AQ3" s="32">
        <v>0.0</v>
      </c>
      <c r="AR3" s="32">
        <v>0.0</v>
      </c>
      <c r="AS3" s="33">
        <f>H12/100+$T$3*(10*H12/100)</f>
        <v>0.05</v>
      </c>
      <c r="AT3" s="19" t="s">
        <v>42</v>
      </c>
      <c r="AU3" s="32">
        <v>0.0</v>
      </c>
      <c r="AV3" s="32">
        <v>0.0</v>
      </c>
      <c r="AW3" s="33">
        <f>I12/100+$T$3*(10*I12/100)</f>
        <v>0.03</v>
      </c>
      <c r="AX3" s="22" t="s">
        <v>42</v>
      </c>
      <c r="AY3" s="34">
        <v>0.0</v>
      </c>
      <c r="AZ3" s="34">
        <v>0.0</v>
      </c>
      <c r="BA3" s="35">
        <f>J12/100+$T$3*(10*J12/100)</f>
        <v>0</v>
      </c>
      <c r="BB3" s="22" t="s">
        <v>42</v>
      </c>
      <c r="BC3" s="34">
        <v>0.0</v>
      </c>
      <c r="BD3" s="34">
        <v>0.0</v>
      </c>
      <c r="BE3" s="35">
        <f>K12/100+$T$3*(10*K12/100)</f>
        <v>0.05</v>
      </c>
      <c r="BF3" s="22" t="s">
        <v>42</v>
      </c>
      <c r="BG3" s="34">
        <v>0.0</v>
      </c>
      <c r="BH3" s="34">
        <v>0.0</v>
      </c>
      <c r="BI3" s="35">
        <f>L12/100+$T$3*(10*L12/100)</f>
        <v>0.04</v>
      </c>
      <c r="BJ3" s="22" t="s">
        <v>42</v>
      </c>
      <c r="BK3" s="34">
        <v>0.0</v>
      </c>
      <c r="BL3" s="34">
        <v>0.0</v>
      </c>
      <c r="BM3" s="35">
        <f>M12/100+$T$3*(10*M12/100)</f>
        <v>0.08</v>
      </c>
    </row>
    <row r="4">
      <c r="A4" s="2"/>
      <c r="B4" s="15" t="s">
        <v>43</v>
      </c>
      <c r="C4" s="15" t="s">
        <v>44</v>
      </c>
      <c r="D4" s="15" t="s">
        <v>9</v>
      </c>
      <c r="E4" s="15" t="s">
        <v>10</v>
      </c>
      <c r="F4" s="15" t="s">
        <v>11</v>
      </c>
      <c r="G4" s="15" t="s">
        <v>12</v>
      </c>
      <c r="H4" s="15" t="s">
        <v>13</v>
      </c>
      <c r="I4" s="15" t="s">
        <v>14</v>
      </c>
      <c r="K4" s="15"/>
      <c r="L4" s="15"/>
      <c r="M4" s="15"/>
      <c r="N4" s="15"/>
      <c r="O4" s="26" t="s">
        <v>39</v>
      </c>
      <c r="P4" s="27" t="s">
        <v>45</v>
      </c>
      <c r="Q4" s="4" t="s">
        <v>46</v>
      </c>
      <c r="R4" s="5" t="s">
        <v>47</v>
      </c>
      <c r="S4" s="28">
        <v>2.0</v>
      </c>
      <c r="T4" s="28">
        <v>0.0</v>
      </c>
      <c r="U4" s="29">
        <f>1+$S$4*B12/20+$T$4*B12/20</f>
        <v>1.5</v>
      </c>
      <c r="V4" s="7" t="s">
        <v>48</v>
      </c>
      <c r="W4" s="30">
        <v>2.0</v>
      </c>
      <c r="X4" s="30">
        <v>0.0</v>
      </c>
      <c r="Y4" s="31">
        <f>1+W$4*C12/20+X$4*C12/20</f>
        <v>1.9</v>
      </c>
      <c r="Z4" s="9" t="s">
        <v>47</v>
      </c>
      <c r="AA4" s="9">
        <v>2.0</v>
      </c>
      <c r="AB4" s="9">
        <v>0.0</v>
      </c>
      <c r="AC4" s="10">
        <f>1+AA$4*G12/20+AB$4*G12/20</f>
        <v>1.2</v>
      </c>
      <c r="AD4" s="19" t="s">
        <v>47</v>
      </c>
      <c r="AE4" s="32">
        <v>2.0</v>
      </c>
      <c r="AF4" s="32">
        <v>0.0</v>
      </c>
      <c r="AG4" s="33">
        <f>1+$S$4*E12/20+$T$4*E12</f>
        <v>1.8</v>
      </c>
      <c r="AH4" s="19" t="s">
        <v>47</v>
      </c>
      <c r="AI4" s="32">
        <v>2.0</v>
      </c>
      <c r="AJ4" s="32">
        <v>0.0</v>
      </c>
      <c r="AK4" s="33">
        <f>1+$S$4*F12/20+$T$4*F12</f>
        <v>1.3</v>
      </c>
      <c r="AL4" s="19" t="s">
        <v>47</v>
      </c>
      <c r="AM4" s="32">
        <v>2.0</v>
      </c>
      <c r="AN4" s="32">
        <v>0.0</v>
      </c>
      <c r="AO4" s="33">
        <f>1+$S$4*G12/20+$T$4*G12</f>
        <v>1.2</v>
      </c>
      <c r="AP4" s="19" t="s">
        <v>47</v>
      </c>
      <c r="AQ4" s="32">
        <v>2.0</v>
      </c>
      <c r="AR4" s="32">
        <v>0.0</v>
      </c>
      <c r="AS4" s="33">
        <f>1+$S$4*H12/20+$T$4*H12</f>
        <v>1.5</v>
      </c>
      <c r="AT4" s="19" t="s">
        <v>47</v>
      </c>
      <c r="AU4" s="32">
        <v>2.0</v>
      </c>
      <c r="AV4" s="32">
        <v>0.0</v>
      </c>
      <c r="AW4" s="33">
        <f>1+$S$4*I12/20+$T$4*I12</f>
        <v>1.3</v>
      </c>
      <c r="AX4" s="22" t="s">
        <v>47</v>
      </c>
      <c r="AY4" s="34">
        <v>2.0</v>
      </c>
      <c r="AZ4" s="34">
        <v>0.0</v>
      </c>
      <c r="BA4" s="35">
        <f>1+$S$4*J12/20+$T$4*J12</f>
        <v>1</v>
      </c>
      <c r="BB4" s="22" t="s">
        <v>47</v>
      </c>
      <c r="BC4" s="34">
        <v>2.0</v>
      </c>
      <c r="BD4" s="34">
        <v>0.0</v>
      </c>
      <c r="BE4" s="35">
        <f>1+$S$4*K12/20+$T$4*K12</f>
        <v>1.5</v>
      </c>
      <c r="BF4" s="22" t="s">
        <v>47</v>
      </c>
      <c r="BG4" s="34">
        <v>2.0</v>
      </c>
      <c r="BH4" s="34">
        <v>0.0</v>
      </c>
      <c r="BI4" s="35">
        <f>1+$S$4*L12/20+$T$4*L12</f>
        <v>1.4</v>
      </c>
      <c r="BJ4" s="22" t="s">
        <v>47</v>
      </c>
      <c r="BK4" s="34">
        <v>2.0</v>
      </c>
      <c r="BL4" s="34">
        <v>0.0</v>
      </c>
      <c r="BM4" s="35">
        <f>1+$S$4*M12/20+$T$4*M12</f>
        <v>1.8</v>
      </c>
    </row>
    <row r="5">
      <c r="A5" s="2"/>
      <c r="B5" s="15" t="s">
        <v>49</v>
      </c>
      <c r="C5" s="15" t="s">
        <v>32</v>
      </c>
      <c r="D5" s="15" t="s">
        <v>50</v>
      </c>
      <c r="E5" s="15" t="s">
        <v>51</v>
      </c>
      <c r="F5" s="15" t="s">
        <v>52</v>
      </c>
      <c r="G5" s="15" t="s">
        <v>53</v>
      </c>
      <c r="H5" s="15" t="s">
        <v>54</v>
      </c>
      <c r="I5" s="15" t="s">
        <v>55</v>
      </c>
      <c r="K5" s="15"/>
      <c r="L5" s="15"/>
      <c r="M5" s="15"/>
      <c r="N5" s="15"/>
      <c r="O5" s="26" t="s">
        <v>27</v>
      </c>
      <c r="P5" s="27" t="s">
        <v>56</v>
      </c>
      <c r="Q5" s="4" t="s">
        <v>57</v>
      </c>
      <c r="R5" s="5" t="s">
        <v>58</v>
      </c>
      <c r="S5" s="5">
        <v>4.0</v>
      </c>
      <c r="T5" s="5">
        <v>0.0</v>
      </c>
      <c r="U5" s="6">
        <f>$S$5*(3*B12/100)+$T$5*(3*B12/100)</f>
        <v>0.6</v>
      </c>
      <c r="V5" s="7" t="s">
        <v>59</v>
      </c>
      <c r="W5" s="7">
        <v>4.0</v>
      </c>
      <c r="X5" s="7">
        <v>0.0</v>
      </c>
      <c r="Y5" s="8">
        <f>W5*(3*C12/100)+X5*(3*C12/100)</f>
        <v>1.08</v>
      </c>
      <c r="Z5" s="9" t="s">
        <v>58</v>
      </c>
      <c r="AA5" s="9">
        <v>1.0</v>
      </c>
      <c r="AB5" s="9">
        <v>0.0</v>
      </c>
      <c r="AC5" s="10">
        <f>AA5*(3*G12/100)+AB5*(3*G12/100)</f>
        <v>0.06</v>
      </c>
      <c r="AD5" s="19" t="s">
        <v>58</v>
      </c>
      <c r="AE5" s="20">
        <v>1.0</v>
      </c>
      <c r="AF5" s="20">
        <v>0.0</v>
      </c>
      <c r="AG5" s="21">
        <f>$S$5*(10*E12/100)+$T$5*(1+E12*3/100)</f>
        <v>3.2</v>
      </c>
      <c r="AH5" s="19" t="s">
        <v>58</v>
      </c>
      <c r="AI5" s="20">
        <v>1.0</v>
      </c>
      <c r="AJ5" s="20">
        <v>0.0</v>
      </c>
      <c r="AK5" s="21">
        <f>$S$5*(10*F12/100)+$T$5*(1+F12*3/100)</f>
        <v>1.2</v>
      </c>
      <c r="AL5" s="19" t="s">
        <v>58</v>
      </c>
      <c r="AM5" s="20">
        <v>1.0</v>
      </c>
      <c r="AN5" s="20">
        <v>0.0</v>
      </c>
      <c r="AO5" s="21">
        <f>$S$5*(10*G12/100)+$T$5*(1+G12*3/100)</f>
        <v>0.8</v>
      </c>
      <c r="AP5" s="19" t="s">
        <v>58</v>
      </c>
      <c r="AQ5" s="20">
        <v>1.0</v>
      </c>
      <c r="AR5" s="20">
        <v>0.0</v>
      </c>
      <c r="AS5" s="21">
        <f>$S$5*(10*H12/100)+$T$5*(1+H12*3/100)</f>
        <v>2</v>
      </c>
      <c r="AT5" s="19" t="s">
        <v>58</v>
      </c>
      <c r="AU5" s="20">
        <v>1.0</v>
      </c>
      <c r="AV5" s="20">
        <v>0.0</v>
      </c>
      <c r="AW5" s="21">
        <f>$S$5*(10*I12/100)+$T$5*(1+I12*3/100)</f>
        <v>1.2</v>
      </c>
      <c r="AX5" s="22" t="s">
        <v>58</v>
      </c>
      <c r="AY5" s="23">
        <v>1.0</v>
      </c>
      <c r="AZ5" s="23">
        <v>0.0</v>
      </c>
      <c r="BA5" s="24">
        <f>$S$5*(10*J12/100)+$T$5*(1+J12*3/100)</f>
        <v>0</v>
      </c>
      <c r="BB5" s="22" t="s">
        <v>58</v>
      </c>
      <c r="BC5" s="23">
        <v>1.0</v>
      </c>
      <c r="BD5" s="23">
        <v>0.0</v>
      </c>
      <c r="BE5" s="24">
        <f>$S$5*(10*K12/100)+$T$5*(1+K12*3/100)</f>
        <v>2</v>
      </c>
      <c r="BF5" s="22" t="s">
        <v>58</v>
      </c>
      <c r="BG5" s="23">
        <v>1.0</v>
      </c>
      <c r="BH5" s="23">
        <v>0.0</v>
      </c>
      <c r="BI5" s="24">
        <f>$S$5*(10*L12/100)+$T$5*(1+L12*3/100)</f>
        <v>1.6</v>
      </c>
      <c r="BJ5" s="22" t="s">
        <v>58</v>
      </c>
      <c r="BK5" s="23">
        <v>1.0</v>
      </c>
      <c r="BL5" s="23">
        <v>0.0</v>
      </c>
      <c r="BM5" s="24">
        <f>$S$5*(10*M12/100)+$T$5*(1+M12*3/100)</f>
        <v>3.2</v>
      </c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15"/>
      <c r="L6" s="15"/>
      <c r="M6" s="15"/>
      <c r="N6" s="15"/>
      <c r="O6" s="26" t="s">
        <v>39</v>
      </c>
      <c r="P6" s="27" t="s">
        <v>60</v>
      </c>
      <c r="Q6" s="4" t="s">
        <v>61</v>
      </c>
      <c r="R6" s="5" t="s">
        <v>62</v>
      </c>
      <c r="S6" s="28">
        <v>0.1</v>
      </c>
      <c r="T6" s="28">
        <v>0.0</v>
      </c>
      <c r="U6" s="36">
        <f>$S$6/10*B12+B12*$T$6/80</f>
        <v>0.05</v>
      </c>
      <c r="V6" s="7" t="s">
        <v>62</v>
      </c>
      <c r="W6" s="30">
        <v>0.1</v>
      </c>
      <c r="X6" s="30">
        <v>0.0</v>
      </c>
      <c r="Y6" s="37">
        <f>W$6/10*C12+C12*X$6/80</f>
        <v>0.09</v>
      </c>
      <c r="Z6" s="9" t="s">
        <v>62</v>
      </c>
      <c r="AA6" s="9">
        <v>0.1</v>
      </c>
      <c r="AB6" s="9">
        <v>0.0</v>
      </c>
      <c r="AC6" s="10">
        <f>AA$6/10*G12+G12*AB$6/80</f>
        <v>0.02</v>
      </c>
      <c r="AD6" s="19" t="s">
        <v>62</v>
      </c>
      <c r="AE6" s="20">
        <v>0.1</v>
      </c>
      <c r="AF6" s="20">
        <v>0.0</v>
      </c>
      <c r="AG6" s="21">
        <f>$S$6*E12/10+$T$6</f>
        <v>0.08</v>
      </c>
      <c r="AH6" s="19" t="s">
        <v>62</v>
      </c>
      <c r="AI6" s="20">
        <v>0.1</v>
      </c>
      <c r="AJ6" s="20">
        <v>0.0</v>
      </c>
      <c r="AK6" s="21">
        <f>$S$6*F12/10+$T$6</f>
        <v>0.03</v>
      </c>
      <c r="AL6" s="19" t="s">
        <v>62</v>
      </c>
      <c r="AM6" s="20">
        <v>0.1</v>
      </c>
      <c r="AN6" s="20">
        <v>0.0</v>
      </c>
      <c r="AO6" s="21">
        <f>$S$6*G12/10+$T$6</f>
        <v>0.02</v>
      </c>
      <c r="AP6" s="19" t="s">
        <v>62</v>
      </c>
      <c r="AQ6" s="20">
        <v>0.1</v>
      </c>
      <c r="AR6" s="20">
        <v>0.0</v>
      </c>
      <c r="AS6" s="21">
        <f>$S$6*H12/10+$T$6</f>
        <v>0.05</v>
      </c>
      <c r="AT6" s="19" t="s">
        <v>62</v>
      </c>
      <c r="AU6" s="20">
        <v>0.1</v>
      </c>
      <c r="AV6" s="20">
        <v>0.0</v>
      </c>
      <c r="AW6" s="21">
        <f>$S$6*I12/10+$T$6</f>
        <v>0.03</v>
      </c>
      <c r="AX6" s="22" t="s">
        <v>62</v>
      </c>
      <c r="AY6" s="23">
        <v>0.1</v>
      </c>
      <c r="AZ6" s="23">
        <v>0.0</v>
      </c>
      <c r="BA6" s="24">
        <f>$S$6*J12/10+$T$6</f>
        <v>0</v>
      </c>
      <c r="BB6" s="22" t="s">
        <v>62</v>
      </c>
      <c r="BC6" s="23">
        <v>0.1</v>
      </c>
      <c r="BD6" s="23">
        <v>0.0</v>
      </c>
      <c r="BE6" s="24">
        <f>$S$6*K12/10+$T$6</f>
        <v>0.05</v>
      </c>
      <c r="BF6" s="22" t="s">
        <v>62</v>
      </c>
      <c r="BG6" s="23">
        <v>0.1</v>
      </c>
      <c r="BH6" s="23">
        <v>0.0</v>
      </c>
      <c r="BI6" s="24">
        <f>$S$6*L12/10+$T$6</f>
        <v>0.04</v>
      </c>
      <c r="BJ6" s="22" t="s">
        <v>62</v>
      </c>
      <c r="BK6" s="23">
        <v>0.1</v>
      </c>
      <c r="BL6" s="23">
        <v>0.0</v>
      </c>
      <c r="BM6" s="24">
        <f>$S$6*M12/10+$T$6</f>
        <v>0.08</v>
      </c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15"/>
      <c r="L7" s="15"/>
      <c r="M7" s="15"/>
      <c r="N7" s="15"/>
      <c r="O7" s="26" t="s">
        <v>39</v>
      </c>
      <c r="P7" s="27" t="s">
        <v>40</v>
      </c>
      <c r="Q7" s="4" t="s">
        <v>63</v>
      </c>
      <c r="R7" s="5" t="s">
        <v>64</v>
      </c>
      <c r="S7" s="5">
        <v>100.0</v>
      </c>
      <c r="T7" s="5">
        <v>0.0</v>
      </c>
      <c r="U7" s="6">
        <f>$S$7+$T$7+B12</f>
        <v>105</v>
      </c>
      <c r="V7" s="7" t="s">
        <v>64</v>
      </c>
      <c r="W7" s="7">
        <v>110.0</v>
      </c>
      <c r="X7" s="7">
        <v>0.0</v>
      </c>
      <c r="Y7" s="8">
        <f>W$7+X$7+B12</f>
        <v>115</v>
      </c>
      <c r="Z7" s="9" t="s">
        <v>64</v>
      </c>
      <c r="AA7" s="9">
        <v>100.0</v>
      </c>
      <c r="AB7" s="9">
        <v>0.0</v>
      </c>
      <c r="AC7" s="10">
        <f>AA$7+AB$7</f>
        <v>100</v>
      </c>
      <c r="AD7" s="19" t="s">
        <v>64</v>
      </c>
      <c r="AE7" s="20">
        <v>100.0</v>
      </c>
      <c r="AF7" s="20">
        <v>0.0</v>
      </c>
      <c r="AG7" s="21">
        <f>$S$7+$T$7</f>
        <v>100</v>
      </c>
      <c r="AH7" s="19" t="s">
        <v>64</v>
      </c>
      <c r="AI7" s="20">
        <v>100.0</v>
      </c>
      <c r="AJ7" s="20">
        <v>0.0</v>
      </c>
      <c r="AK7" s="21">
        <f>$S$7+$T$7</f>
        <v>100</v>
      </c>
      <c r="AL7" s="19" t="s">
        <v>64</v>
      </c>
      <c r="AM7" s="20">
        <v>100.0</v>
      </c>
      <c r="AN7" s="20">
        <v>0.0</v>
      </c>
      <c r="AO7" s="21">
        <f>$S$7+$T$7</f>
        <v>100</v>
      </c>
      <c r="AP7" s="19" t="s">
        <v>64</v>
      </c>
      <c r="AQ7" s="20">
        <v>100.0</v>
      </c>
      <c r="AR7" s="20">
        <v>0.0</v>
      </c>
      <c r="AS7" s="21">
        <f>$S$7+$T$7</f>
        <v>100</v>
      </c>
      <c r="AT7" s="19" t="s">
        <v>64</v>
      </c>
      <c r="AU7" s="20">
        <v>100.0</v>
      </c>
      <c r="AV7" s="20">
        <v>0.0</v>
      </c>
      <c r="AW7" s="21">
        <f>$S$7+$T$7</f>
        <v>100</v>
      </c>
      <c r="AX7" s="22" t="s">
        <v>64</v>
      </c>
      <c r="AY7" s="23">
        <v>100.0</v>
      </c>
      <c r="AZ7" s="23">
        <v>0.0</v>
      </c>
      <c r="BA7" s="24">
        <f>$S$7+$T$7</f>
        <v>100</v>
      </c>
      <c r="BB7" s="22" t="s">
        <v>64</v>
      </c>
      <c r="BC7" s="23">
        <v>100.0</v>
      </c>
      <c r="BD7" s="23">
        <v>0.0</v>
      </c>
      <c r="BE7" s="24">
        <f>$S$7+$T$7</f>
        <v>100</v>
      </c>
      <c r="BF7" s="22" t="s">
        <v>64</v>
      </c>
      <c r="BG7" s="23">
        <v>100.0</v>
      </c>
      <c r="BH7" s="23">
        <v>0.0</v>
      </c>
      <c r="BI7" s="24">
        <f>$S$7+$T$7</f>
        <v>100</v>
      </c>
      <c r="BJ7" s="22" t="s">
        <v>64</v>
      </c>
      <c r="BK7" s="23">
        <v>100.0</v>
      </c>
      <c r="BL7" s="23">
        <v>0.0</v>
      </c>
      <c r="BM7" s="24">
        <f>$S$7+$T$7</f>
        <v>100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15"/>
      <c r="L8" s="15"/>
      <c r="M8" s="15"/>
      <c r="N8" s="15"/>
      <c r="O8" s="26" t="s">
        <v>39</v>
      </c>
      <c r="P8" s="27" t="s">
        <v>60</v>
      </c>
      <c r="Q8" s="4" t="s">
        <v>65</v>
      </c>
      <c r="R8" s="5" t="s">
        <v>66</v>
      </c>
      <c r="S8" s="28">
        <v>0.1</v>
      </c>
      <c r="T8" s="28">
        <v>0.0</v>
      </c>
      <c r="U8" s="29">
        <f>$S$6/10*B17+B17*$T$6/80</f>
        <v>0.07</v>
      </c>
      <c r="V8" s="7" t="s">
        <v>66</v>
      </c>
      <c r="W8" s="30">
        <v>0.1</v>
      </c>
      <c r="X8" s="30">
        <v>0.0</v>
      </c>
      <c r="Y8" s="37">
        <f>W$6/10*C17+C17*X$6/80</f>
        <v>0.03</v>
      </c>
      <c r="Z8" s="9" t="s">
        <v>66</v>
      </c>
      <c r="AA8" s="9">
        <v>0.1</v>
      </c>
      <c r="AB8" s="9">
        <v>0.0</v>
      </c>
      <c r="AC8" s="10">
        <f>AA$6/10*G17+G17*AB$6/80</f>
        <v>0.06</v>
      </c>
      <c r="AD8" s="19" t="s">
        <v>66</v>
      </c>
      <c r="AE8" s="20">
        <v>0.1</v>
      </c>
      <c r="AF8" s="20">
        <v>0.0</v>
      </c>
      <c r="AG8" s="21">
        <f>($S$8*E17/20)+($T$8*E17/20)+($S$8*E11/20)+($T$8*E11/20)</f>
        <v>0.045</v>
      </c>
      <c r="AH8" s="19" t="s">
        <v>66</v>
      </c>
      <c r="AI8" s="20">
        <v>0.1</v>
      </c>
      <c r="AJ8" s="20">
        <v>0.0</v>
      </c>
      <c r="AK8" s="21">
        <f>($S$8*F17/20)+($T$8*F17/20)+($S$8*F11/20)+($T$8*F11/20)</f>
        <v>0.035</v>
      </c>
      <c r="AL8" s="19" t="s">
        <v>66</v>
      </c>
      <c r="AM8" s="20">
        <v>0.1</v>
      </c>
      <c r="AN8" s="20">
        <v>0.0</v>
      </c>
      <c r="AO8" s="21">
        <f>($S$8*G17/20)+($T$8*G17/20)+($S$8*G11/20)+($T$8*G11/20)</f>
        <v>0.06</v>
      </c>
      <c r="AP8" s="19" t="s">
        <v>66</v>
      </c>
      <c r="AQ8" s="20">
        <v>0.1</v>
      </c>
      <c r="AR8" s="20">
        <v>0.0</v>
      </c>
      <c r="AS8" s="21">
        <f>($S$8*H17/20)+($T$8*H17/20)+($S$8*H11/20)+($T$8*H11/20)</f>
        <v>0.09</v>
      </c>
      <c r="AT8" s="19" t="s">
        <v>66</v>
      </c>
      <c r="AU8" s="20">
        <v>0.1</v>
      </c>
      <c r="AV8" s="20">
        <v>0.0</v>
      </c>
      <c r="AW8" s="21">
        <f>($S$8*I17/20)+($T$8*I17/20)+($S$8*I11/20)+($T$8*I11/20)</f>
        <v>0.04</v>
      </c>
      <c r="AX8" s="22" t="s">
        <v>66</v>
      </c>
      <c r="AY8" s="23">
        <v>0.1</v>
      </c>
      <c r="AZ8" s="23">
        <v>0.0</v>
      </c>
      <c r="BA8" s="24">
        <f>($S$8*J17/20)+($T$8*J17/20)+($S$8*J11/20)+($T$8*J11/20)</f>
        <v>0</v>
      </c>
      <c r="BB8" s="22" t="s">
        <v>66</v>
      </c>
      <c r="BC8" s="23">
        <v>0.1</v>
      </c>
      <c r="BD8" s="23">
        <v>0.0</v>
      </c>
      <c r="BE8" s="24">
        <f>($S$8*K17/20)+($T$8*K17/20)+($S$8*K11/20)+($T$8*K11/20)</f>
        <v>0.035</v>
      </c>
      <c r="BF8" s="22" t="s">
        <v>66</v>
      </c>
      <c r="BG8" s="23">
        <v>0.1</v>
      </c>
      <c r="BH8" s="23">
        <v>0.0</v>
      </c>
      <c r="BI8" s="24">
        <f>($S$8*L17/20)+($T$8*L17/20)+($S$8*L11/20)+($T$8*L11/20)</f>
        <v>0.02</v>
      </c>
      <c r="BJ8" s="22" t="s">
        <v>66</v>
      </c>
      <c r="BK8" s="23">
        <v>0.1</v>
      </c>
      <c r="BL8" s="23">
        <v>0.0</v>
      </c>
      <c r="BM8" s="24">
        <f>($S$8*M17/20)+($T$8*M17/20)+($S$8*M11/20)+($T$8*M11/20)</f>
        <v>0.025</v>
      </c>
    </row>
    <row r="9" ht="24.0" customHeight="1">
      <c r="A9" s="38" t="s">
        <v>67</v>
      </c>
      <c r="B9" s="39" t="s">
        <v>68</v>
      </c>
      <c r="C9" s="39" t="s">
        <v>69</v>
      </c>
      <c r="D9" s="39" t="s">
        <v>70</v>
      </c>
      <c r="E9" s="39" t="s">
        <v>71</v>
      </c>
      <c r="F9" s="39" t="s">
        <v>72</v>
      </c>
      <c r="G9" s="39" t="s">
        <v>73</v>
      </c>
      <c r="H9" s="39" t="s">
        <v>74</v>
      </c>
      <c r="I9" s="40" t="s">
        <v>75</v>
      </c>
      <c r="K9" s="15"/>
      <c r="L9" s="15"/>
      <c r="M9" s="15"/>
      <c r="N9" s="15"/>
      <c r="O9" s="26" t="s">
        <v>27</v>
      </c>
      <c r="P9" s="27" t="s">
        <v>76</v>
      </c>
      <c r="Q9" s="4" t="s">
        <v>77</v>
      </c>
      <c r="R9" s="5" t="s">
        <v>78</v>
      </c>
      <c r="S9" s="5">
        <v>0.0</v>
      </c>
      <c r="T9" s="5">
        <v>0.0</v>
      </c>
      <c r="U9" s="6">
        <f>$S$9+$T$9</f>
        <v>0</v>
      </c>
      <c r="V9" s="7" t="s">
        <v>79</v>
      </c>
      <c r="W9" s="7">
        <v>0.0</v>
      </c>
      <c r="X9" s="7">
        <v>0.0</v>
      </c>
      <c r="Y9" s="8">
        <f>W$9+X$9</f>
        <v>0</v>
      </c>
      <c r="Z9" s="9" t="s">
        <v>79</v>
      </c>
      <c r="AA9" s="9">
        <v>0.0</v>
      </c>
      <c r="AB9" s="9">
        <v>0.0</v>
      </c>
      <c r="AC9" s="10">
        <f>AA$9+AB$9</f>
        <v>0</v>
      </c>
      <c r="AD9" s="19" t="s">
        <v>79</v>
      </c>
      <c r="AE9" s="20">
        <v>0.0</v>
      </c>
      <c r="AF9" s="20">
        <v>0.0</v>
      </c>
      <c r="AG9" s="21">
        <f>$S$9+$T$9</f>
        <v>0</v>
      </c>
      <c r="AH9" s="19" t="s">
        <v>79</v>
      </c>
      <c r="AI9" s="20">
        <v>0.0</v>
      </c>
      <c r="AJ9" s="20">
        <v>0.0</v>
      </c>
      <c r="AK9" s="21">
        <f>$S$9+$T$9</f>
        <v>0</v>
      </c>
      <c r="AL9" s="19" t="s">
        <v>79</v>
      </c>
      <c r="AM9" s="20">
        <v>0.0</v>
      </c>
      <c r="AN9" s="20">
        <v>0.0</v>
      </c>
      <c r="AO9" s="21">
        <f>$S$9+$T$9</f>
        <v>0</v>
      </c>
      <c r="AP9" s="19" t="s">
        <v>79</v>
      </c>
      <c r="AQ9" s="20">
        <v>0.0</v>
      </c>
      <c r="AR9" s="20">
        <v>0.0</v>
      </c>
      <c r="AS9" s="21">
        <f>$S$9+$T$9</f>
        <v>0</v>
      </c>
      <c r="AT9" s="19" t="s">
        <v>79</v>
      </c>
      <c r="AU9" s="20">
        <v>0.0</v>
      </c>
      <c r="AV9" s="20">
        <v>0.0</v>
      </c>
      <c r="AW9" s="21">
        <f>$S$9+$T$9</f>
        <v>0</v>
      </c>
      <c r="AX9" s="22" t="s">
        <v>79</v>
      </c>
      <c r="AY9" s="23">
        <v>0.0</v>
      </c>
      <c r="AZ9" s="23">
        <v>0.0</v>
      </c>
      <c r="BA9" s="24">
        <f>$S$9+$T$9</f>
        <v>0</v>
      </c>
      <c r="BB9" s="22" t="s">
        <v>79</v>
      </c>
      <c r="BC9" s="23">
        <v>0.0</v>
      </c>
      <c r="BD9" s="23">
        <v>0.0</v>
      </c>
      <c r="BE9" s="24">
        <f>$S$9+$T$9</f>
        <v>0</v>
      </c>
      <c r="BF9" s="22" t="s">
        <v>79</v>
      </c>
      <c r="BG9" s="23">
        <v>0.0</v>
      </c>
      <c r="BH9" s="23">
        <v>0.0</v>
      </c>
      <c r="BI9" s="24">
        <f>$S$9+$T$9</f>
        <v>0</v>
      </c>
      <c r="BJ9" s="22" t="s">
        <v>79</v>
      </c>
      <c r="BK9" s="23">
        <v>0.0</v>
      </c>
      <c r="BL9" s="23">
        <v>0.0</v>
      </c>
      <c r="BM9" s="24">
        <f>$S$9+$T$9</f>
        <v>0</v>
      </c>
    </row>
    <row r="10">
      <c r="A10" s="41"/>
      <c r="B10" s="42" t="s">
        <v>43</v>
      </c>
      <c r="C10" s="42" t="s">
        <v>44</v>
      </c>
      <c r="D10" s="42" t="s">
        <v>9</v>
      </c>
      <c r="E10" s="42" t="s">
        <v>10</v>
      </c>
      <c r="F10" s="42" t="s">
        <v>11</v>
      </c>
      <c r="G10" s="42" t="s">
        <v>12</v>
      </c>
      <c r="H10" s="42" t="s">
        <v>13</v>
      </c>
      <c r="I10" s="43" t="s">
        <v>14</v>
      </c>
      <c r="K10" s="19" t="s">
        <v>15</v>
      </c>
      <c r="L10" s="44" t="s">
        <v>80</v>
      </c>
      <c r="M10" s="19" t="s">
        <v>16</v>
      </c>
      <c r="N10" s="19" t="s">
        <v>18</v>
      </c>
      <c r="O10" s="26" t="s">
        <v>27</v>
      </c>
      <c r="P10" s="27" t="s">
        <v>28</v>
      </c>
      <c r="Q10" s="45" t="s">
        <v>81</v>
      </c>
      <c r="R10" s="5" t="s">
        <v>82</v>
      </c>
      <c r="S10" s="5">
        <v>50.0</v>
      </c>
      <c r="T10" s="5">
        <v>0.0</v>
      </c>
      <c r="U10" s="46">
        <f>($S$10/4*B17)+($T$10)</f>
        <v>87.5</v>
      </c>
      <c r="V10" s="7" t="s">
        <v>82</v>
      </c>
      <c r="W10" s="7">
        <v>50.0</v>
      </c>
      <c r="X10" s="7">
        <v>0.0</v>
      </c>
      <c r="Y10" s="47">
        <f>(W$10*C17/4)+(X$10)</f>
        <v>37.5</v>
      </c>
      <c r="Z10" s="9" t="s">
        <v>82</v>
      </c>
      <c r="AA10" s="9">
        <v>15.0</v>
      </c>
      <c r="AB10" s="9">
        <v>0.0</v>
      </c>
      <c r="AC10" s="10">
        <f>(AA$10*G17/4)+(AB$10)</f>
        <v>22.5</v>
      </c>
      <c r="AD10" s="19" t="s">
        <v>82</v>
      </c>
      <c r="AE10" s="20">
        <v>15.0</v>
      </c>
      <c r="AF10" s="20">
        <v>0.0</v>
      </c>
      <c r="AG10" s="21">
        <f>($S$10*E17)+($T$10*E17)</f>
        <v>150</v>
      </c>
      <c r="AH10" s="19" t="s">
        <v>82</v>
      </c>
      <c r="AI10" s="20">
        <v>15.0</v>
      </c>
      <c r="AJ10" s="20">
        <v>0.0</v>
      </c>
      <c r="AK10" s="21">
        <f>($S$10*F17)+($T$10*F17)</f>
        <v>250</v>
      </c>
      <c r="AL10" s="19" t="s">
        <v>82</v>
      </c>
      <c r="AM10" s="20">
        <v>15.0</v>
      </c>
      <c r="AN10" s="20">
        <v>0.0</v>
      </c>
      <c r="AO10" s="21">
        <f>($S$10*G17)+($T$10*G17)</f>
        <v>300</v>
      </c>
      <c r="AP10" s="19" t="s">
        <v>82</v>
      </c>
      <c r="AQ10" s="20">
        <v>15.0</v>
      </c>
      <c r="AR10" s="20">
        <v>0.0</v>
      </c>
      <c r="AS10" s="21">
        <f>($S$10*H17)+($T$10*H17)</f>
        <v>500</v>
      </c>
      <c r="AT10" s="19" t="s">
        <v>82</v>
      </c>
      <c r="AU10" s="20">
        <v>15.0</v>
      </c>
      <c r="AV10" s="20">
        <v>0.0</v>
      </c>
      <c r="AW10" s="21">
        <f>($S$10*I17)+($T$10*I17)</f>
        <v>200</v>
      </c>
      <c r="AX10" s="22" t="s">
        <v>82</v>
      </c>
      <c r="AY10" s="23">
        <v>15.0</v>
      </c>
      <c r="AZ10" s="23">
        <v>0.0</v>
      </c>
      <c r="BA10" s="24">
        <f>($S$10*J17)+($T$10*J17)</f>
        <v>0</v>
      </c>
      <c r="BB10" s="22" t="s">
        <v>82</v>
      </c>
      <c r="BC10" s="23">
        <v>15.0</v>
      </c>
      <c r="BD10" s="23">
        <v>0.0</v>
      </c>
      <c r="BE10" s="24">
        <f>($S$10*K17)+($T$10*K17)</f>
        <v>100</v>
      </c>
      <c r="BF10" s="22" t="s">
        <v>82</v>
      </c>
      <c r="BG10" s="23">
        <v>15.0</v>
      </c>
      <c r="BH10" s="23">
        <v>0.0</v>
      </c>
      <c r="BI10" s="24">
        <f>($S$10*L17)+($T$10*L17)</f>
        <v>100</v>
      </c>
      <c r="BJ10" s="22" t="s">
        <v>82</v>
      </c>
      <c r="BK10" s="23">
        <v>15.0</v>
      </c>
      <c r="BL10" s="23">
        <v>0.0</v>
      </c>
      <c r="BM10" s="24">
        <f>($S$10*M17)+($T$10*M17)</f>
        <v>100</v>
      </c>
    </row>
    <row r="11">
      <c r="A11" s="26" t="s">
        <v>19</v>
      </c>
      <c r="B11" s="48">
        <v>10.0</v>
      </c>
      <c r="C11" s="3">
        <v>6.0</v>
      </c>
      <c r="D11" s="3">
        <v>2.0</v>
      </c>
      <c r="E11" s="3">
        <v>6.0</v>
      </c>
      <c r="F11" s="48">
        <v>2.0</v>
      </c>
      <c r="G11" s="3">
        <v>6.0</v>
      </c>
      <c r="H11" s="48">
        <v>8.0</v>
      </c>
      <c r="I11" s="49">
        <v>4.0</v>
      </c>
      <c r="K11" s="15">
        <v>5.0</v>
      </c>
      <c r="L11" s="15">
        <v>2.0</v>
      </c>
      <c r="M11" s="15">
        <v>3.0</v>
      </c>
      <c r="N11" s="15">
        <v>3.0</v>
      </c>
      <c r="O11" s="26" t="s">
        <v>27</v>
      </c>
      <c r="P11" s="27" t="s">
        <v>76</v>
      </c>
      <c r="Q11" s="4" t="s">
        <v>83</v>
      </c>
      <c r="R11" s="5" t="s">
        <v>84</v>
      </c>
      <c r="S11" s="5">
        <v>1.0</v>
      </c>
      <c r="T11" s="5">
        <v>0.0</v>
      </c>
      <c r="U11" s="6">
        <f>($S$11+$T$11)*B17/2</f>
        <v>3.5</v>
      </c>
      <c r="V11" s="7" t="s">
        <v>84</v>
      </c>
      <c r="W11" s="7">
        <v>1.0</v>
      </c>
      <c r="X11" s="7">
        <v>0.0</v>
      </c>
      <c r="Y11" s="8">
        <f>(W$11+X$11)*C17/2</f>
        <v>1.5</v>
      </c>
      <c r="Z11" s="9" t="s">
        <v>84</v>
      </c>
      <c r="AA11" s="9">
        <v>1.0</v>
      </c>
      <c r="AB11" s="9">
        <v>0.0</v>
      </c>
      <c r="AC11" s="10">
        <f>(AA$11+AB$11)*G17/2</f>
        <v>3</v>
      </c>
      <c r="AD11" s="19" t="s">
        <v>84</v>
      </c>
      <c r="AE11" s="20">
        <v>1.0</v>
      </c>
      <c r="AF11" s="20">
        <v>0.0</v>
      </c>
      <c r="AG11" s="21">
        <f>($S$11+$T$11)*E17/2</f>
        <v>1.5</v>
      </c>
      <c r="AH11" s="19" t="s">
        <v>84</v>
      </c>
      <c r="AI11" s="20">
        <v>1.0</v>
      </c>
      <c r="AJ11" s="20">
        <v>0.0</v>
      </c>
      <c r="AK11" s="21">
        <f>($S$11+$T$11)*F17/2</f>
        <v>2.5</v>
      </c>
      <c r="AL11" s="19" t="s">
        <v>84</v>
      </c>
      <c r="AM11" s="20">
        <v>1.0</v>
      </c>
      <c r="AN11" s="20">
        <v>0.0</v>
      </c>
      <c r="AO11" s="21">
        <f>($S$11+$T$11)*G17/2</f>
        <v>3</v>
      </c>
      <c r="AP11" s="19" t="s">
        <v>84</v>
      </c>
      <c r="AQ11" s="20">
        <v>1.0</v>
      </c>
      <c r="AR11" s="20">
        <v>0.0</v>
      </c>
      <c r="AS11" s="21">
        <f>($S$11+$T$11)*H17/2</f>
        <v>5</v>
      </c>
      <c r="AT11" s="19" t="s">
        <v>84</v>
      </c>
      <c r="AU11" s="20">
        <v>1.0</v>
      </c>
      <c r="AV11" s="20">
        <v>0.0</v>
      </c>
      <c r="AW11" s="21">
        <f>($S$11+$T$11)*I17/2</f>
        <v>2</v>
      </c>
      <c r="AX11" s="22" t="s">
        <v>84</v>
      </c>
      <c r="AY11" s="23">
        <v>1.0</v>
      </c>
      <c r="AZ11" s="23">
        <v>0.0</v>
      </c>
      <c r="BA11" s="24">
        <f>($S$11+$T$11)*J17/2</f>
        <v>0</v>
      </c>
      <c r="BB11" s="22" t="s">
        <v>84</v>
      </c>
      <c r="BC11" s="23">
        <v>1.0</v>
      </c>
      <c r="BD11" s="23">
        <v>0.0</v>
      </c>
      <c r="BE11" s="24">
        <f>($S$11+$T$11)*K17/2</f>
        <v>1</v>
      </c>
      <c r="BF11" s="22" t="s">
        <v>84</v>
      </c>
      <c r="BG11" s="23">
        <v>1.0</v>
      </c>
      <c r="BH11" s="23">
        <v>0.0</v>
      </c>
      <c r="BI11" s="24">
        <f>($S$11+$T$11)*L17/2</f>
        <v>1</v>
      </c>
      <c r="BJ11" s="22" t="s">
        <v>84</v>
      </c>
      <c r="BK11" s="23">
        <v>1.0</v>
      </c>
      <c r="BL11" s="23">
        <v>0.0</v>
      </c>
      <c r="BM11" s="24">
        <f>($S$11+$T$11)*M17/2</f>
        <v>1</v>
      </c>
    </row>
    <row r="12">
      <c r="A12" s="26" t="s">
        <v>20</v>
      </c>
      <c r="B12" s="3">
        <v>5.0</v>
      </c>
      <c r="C12" s="48">
        <v>9.0</v>
      </c>
      <c r="D12" s="48">
        <v>3.0</v>
      </c>
      <c r="E12" s="48">
        <v>8.0</v>
      </c>
      <c r="F12" s="3">
        <v>3.0</v>
      </c>
      <c r="G12" s="48">
        <v>2.0</v>
      </c>
      <c r="H12" s="3">
        <v>5.0</v>
      </c>
      <c r="I12" s="50">
        <v>3.0</v>
      </c>
      <c r="K12" s="15">
        <v>5.0</v>
      </c>
      <c r="L12" s="15">
        <v>4.0</v>
      </c>
      <c r="M12" s="15">
        <v>8.0</v>
      </c>
      <c r="N12" s="15">
        <v>8.0</v>
      </c>
      <c r="O12" s="26" t="s">
        <v>27</v>
      </c>
      <c r="P12" s="27" t="s">
        <v>85</v>
      </c>
      <c r="Q12" s="4" t="s">
        <v>86</v>
      </c>
      <c r="R12" s="5" t="s">
        <v>87</v>
      </c>
      <c r="S12" s="5">
        <v>0.0</v>
      </c>
      <c r="T12" s="5">
        <v>0.0</v>
      </c>
      <c r="U12" s="6">
        <f>$S$12+$T$12+B18</f>
        <v>3</v>
      </c>
      <c r="V12" s="7" t="s">
        <v>87</v>
      </c>
      <c r="W12" s="7">
        <v>0.0</v>
      </c>
      <c r="X12" s="7">
        <v>0.0</v>
      </c>
      <c r="Y12" s="8">
        <f>$S$12+$T$12+C18</f>
        <v>3</v>
      </c>
      <c r="Z12" s="9" t="s">
        <v>87</v>
      </c>
      <c r="AA12" s="9">
        <v>0.0</v>
      </c>
      <c r="AB12" s="9">
        <v>0.0</v>
      </c>
      <c r="AC12" s="10">
        <f>$S$12+$T$12+G18</f>
        <v>2</v>
      </c>
      <c r="AD12" s="19" t="s">
        <v>87</v>
      </c>
      <c r="AE12" s="20">
        <v>0.0</v>
      </c>
      <c r="AF12" s="20">
        <v>0.0</v>
      </c>
      <c r="AG12" s="21">
        <f>$S$12+$T$12+E18</f>
        <v>5</v>
      </c>
      <c r="AH12" s="19" t="s">
        <v>87</v>
      </c>
      <c r="AI12" s="20">
        <v>0.0</v>
      </c>
      <c r="AJ12" s="20">
        <v>0.0</v>
      </c>
      <c r="AK12" s="21">
        <f>$S$12+$T$12+F18</f>
        <v>2</v>
      </c>
      <c r="AL12" s="19" t="s">
        <v>87</v>
      </c>
      <c r="AM12" s="20">
        <v>0.0</v>
      </c>
      <c r="AN12" s="20">
        <v>0.0</v>
      </c>
      <c r="AO12" s="21">
        <f>$S$12+$T$12+G18</f>
        <v>2</v>
      </c>
      <c r="AP12" s="19" t="s">
        <v>87</v>
      </c>
      <c r="AQ12" s="20">
        <v>0.0</v>
      </c>
      <c r="AR12" s="20">
        <v>0.0</v>
      </c>
      <c r="AS12" s="21">
        <f>$S$12+$T$12+H18</f>
        <v>3</v>
      </c>
      <c r="AT12" s="19" t="s">
        <v>87</v>
      </c>
      <c r="AU12" s="20">
        <v>0.0</v>
      </c>
      <c r="AV12" s="20">
        <v>0.0</v>
      </c>
      <c r="AW12" s="21">
        <f>$S$12+$T$12+I18</f>
        <v>9</v>
      </c>
      <c r="AX12" s="22" t="s">
        <v>87</v>
      </c>
      <c r="AY12" s="23">
        <v>0.0</v>
      </c>
      <c r="AZ12" s="23">
        <v>0.0</v>
      </c>
      <c r="BA12" s="24">
        <f>$S$12+$T$12+J18</f>
        <v>0</v>
      </c>
      <c r="BB12" s="22" t="s">
        <v>87</v>
      </c>
      <c r="BC12" s="23">
        <v>0.0</v>
      </c>
      <c r="BD12" s="23">
        <v>0.0</v>
      </c>
      <c r="BE12" s="24">
        <f>$S$12+$T$12+K18</f>
        <v>2</v>
      </c>
      <c r="BF12" s="22" t="s">
        <v>87</v>
      </c>
      <c r="BG12" s="23">
        <v>0.0</v>
      </c>
      <c r="BH12" s="23">
        <v>0.0</v>
      </c>
      <c r="BI12" s="24">
        <f>$S$12+$T$12+L18</f>
        <v>1</v>
      </c>
      <c r="BJ12" s="22" t="s">
        <v>87</v>
      </c>
      <c r="BK12" s="23">
        <v>0.0</v>
      </c>
      <c r="BL12" s="23">
        <v>0.0</v>
      </c>
      <c r="BM12" s="24">
        <f>$S$12+$T$12+M18</f>
        <v>1</v>
      </c>
    </row>
    <row r="13">
      <c r="A13" s="26" t="s">
        <v>21</v>
      </c>
      <c r="B13" s="3">
        <v>2.0</v>
      </c>
      <c r="C13" s="3">
        <v>4.0</v>
      </c>
      <c r="D13" s="48">
        <v>10.0</v>
      </c>
      <c r="E13" s="48">
        <v>4.0</v>
      </c>
      <c r="F13" s="3">
        <v>7.0</v>
      </c>
      <c r="G13" s="3">
        <v>7.0</v>
      </c>
      <c r="H13" s="48">
        <v>4.0</v>
      </c>
      <c r="I13" s="49">
        <v>5.0</v>
      </c>
      <c r="K13" s="15">
        <v>2.0</v>
      </c>
      <c r="L13" s="15">
        <v>5.0</v>
      </c>
      <c r="M13" s="15">
        <v>1.0</v>
      </c>
      <c r="N13" s="15">
        <v>1.0</v>
      </c>
      <c r="O13" s="26" t="s">
        <v>27</v>
      </c>
      <c r="P13" s="27" t="s">
        <v>76</v>
      </c>
      <c r="Q13" s="4" t="s">
        <v>77</v>
      </c>
      <c r="R13" s="5" t="s">
        <v>88</v>
      </c>
      <c r="S13" s="5">
        <v>200.0</v>
      </c>
      <c r="T13" s="5">
        <v>0.0</v>
      </c>
      <c r="U13" s="6">
        <f>S13+T13</f>
        <v>200</v>
      </c>
      <c r="V13" s="7" t="s">
        <v>88</v>
      </c>
      <c r="W13" s="7">
        <v>150.0</v>
      </c>
      <c r="X13" s="7">
        <v>0.0</v>
      </c>
      <c r="Y13" s="8">
        <f>W13+X13</f>
        <v>150</v>
      </c>
      <c r="Z13" s="9" t="s">
        <v>89</v>
      </c>
      <c r="AA13" s="9">
        <v>100.0</v>
      </c>
      <c r="AB13" s="9">
        <v>0.0</v>
      </c>
      <c r="AC13" s="10">
        <f>AA13+AB13</f>
        <v>100</v>
      </c>
      <c r="AD13" s="19" t="s">
        <v>89</v>
      </c>
      <c r="AE13" s="51">
        <v>100.0</v>
      </c>
      <c r="AF13" s="20">
        <v>0.0</v>
      </c>
      <c r="AG13" s="21">
        <f>(AG14*($S$13+$T$13)/2)*E14/8</f>
        <v>112.5</v>
      </c>
      <c r="AH13" s="19" t="s">
        <v>89</v>
      </c>
      <c r="AI13" s="51">
        <v>100.0</v>
      </c>
      <c r="AJ13" s="20">
        <v>0.0</v>
      </c>
      <c r="AK13" s="21">
        <f>(AK14*($S$13+$T$13)/2)*F14/8</f>
        <v>37.5</v>
      </c>
      <c r="AL13" s="19" t="s">
        <v>89</v>
      </c>
      <c r="AM13" s="51">
        <v>100.0</v>
      </c>
      <c r="AN13" s="20">
        <v>0.0</v>
      </c>
      <c r="AO13" s="21">
        <f>(AO14*($S$13+$T$13)/2)*G14/8</f>
        <v>25</v>
      </c>
      <c r="AP13" s="19" t="s">
        <v>89</v>
      </c>
      <c r="AQ13" s="51">
        <v>100.0</v>
      </c>
      <c r="AR13" s="20">
        <v>0.0</v>
      </c>
      <c r="AS13" s="21">
        <f>(AS14*($S$13+$T$13)/2)*H14/8</f>
        <v>50</v>
      </c>
      <c r="AT13" s="19" t="s">
        <v>89</v>
      </c>
      <c r="AU13" s="51">
        <v>100.0</v>
      </c>
      <c r="AV13" s="20">
        <v>0.0</v>
      </c>
      <c r="AW13" s="21">
        <f>(AW14*($S$13+$T$13)/2)*I14/8</f>
        <v>37.5</v>
      </c>
      <c r="AX13" s="22" t="s">
        <v>89</v>
      </c>
      <c r="AY13" s="52">
        <v>100.0</v>
      </c>
      <c r="AZ13" s="23">
        <v>0.0</v>
      </c>
      <c r="BA13" s="24">
        <f>(BA14*($S$13+$T$13)/2)*J14/8</f>
        <v>0</v>
      </c>
      <c r="BB13" s="22" t="s">
        <v>89</v>
      </c>
      <c r="BC13" s="52">
        <v>100.0</v>
      </c>
      <c r="BD13" s="23">
        <v>0.0</v>
      </c>
      <c r="BE13" s="24">
        <f>(BE14*($S$13+$T$13)/2)*K14/8</f>
        <v>25</v>
      </c>
      <c r="BF13" s="22" t="s">
        <v>89</v>
      </c>
      <c r="BG13" s="52">
        <v>100.0</v>
      </c>
      <c r="BH13" s="23">
        <v>0.0</v>
      </c>
      <c r="BI13" s="24">
        <f>(BI14*($S$13+$T$13)/2)*L14/8</f>
        <v>37.5</v>
      </c>
      <c r="BJ13" s="22" t="s">
        <v>89</v>
      </c>
      <c r="BK13" s="52">
        <v>100.0</v>
      </c>
      <c r="BL13" s="23">
        <v>0.0</v>
      </c>
      <c r="BM13" s="24">
        <f>(BM14*($S$13+$T$13)/2)*M14/8</f>
        <v>25</v>
      </c>
    </row>
    <row r="14">
      <c r="A14" s="26" t="s">
        <v>22</v>
      </c>
      <c r="B14" s="3">
        <v>5.0</v>
      </c>
      <c r="C14" s="3">
        <v>5.0</v>
      </c>
      <c r="D14" s="3">
        <v>5.0</v>
      </c>
      <c r="E14" s="48">
        <v>9.0</v>
      </c>
      <c r="F14" s="48">
        <v>3.0</v>
      </c>
      <c r="G14" s="3">
        <v>2.0</v>
      </c>
      <c r="H14" s="48">
        <v>4.0</v>
      </c>
      <c r="I14" s="49">
        <v>3.0</v>
      </c>
      <c r="K14" s="15">
        <v>2.0</v>
      </c>
      <c r="L14" s="15">
        <v>3.0</v>
      </c>
      <c r="M14" s="15">
        <v>2.0</v>
      </c>
      <c r="N14" s="15">
        <v>2.0</v>
      </c>
      <c r="O14" s="26" t="s">
        <v>39</v>
      </c>
      <c r="P14" s="27" t="s">
        <v>90</v>
      </c>
      <c r="Q14" s="4" t="s">
        <v>91</v>
      </c>
      <c r="R14" s="5" t="s">
        <v>92</v>
      </c>
      <c r="S14" s="28">
        <v>0.0</v>
      </c>
      <c r="T14" s="28">
        <v>0.0</v>
      </c>
      <c r="U14" s="29">
        <f>1+$T$14+S14</f>
        <v>1</v>
      </c>
      <c r="V14" s="7" t="s">
        <v>92</v>
      </c>
      <c r="W14" s="30">
        <v>0.0</v>
      </c>
      <c r="X14" s="30">
        <v>0.0</v>
      </c>
      <c r="Y14" s="31">
        <f>1+W$14+X14</f>
        <v>1</v>
      </c>
      <c r="Z14" s="9" t="s">
        <v>92</v>
      </c>
      <c r="AA14" s="9">
        <v>0.0</v>
      </c>
      <c r="AB14" s="9">
        <v>0.0</v>
      </c>
      <c r="AC14" s="10">
        <f>1+AA$14+AB14</f>
        <v>1</v>
      </c>
      <c r="AD14" s="19" t="s">
        <v>92</v>
      </c>
      <c r="AE14" s="20">
        <v>0.0</v>
      </c>
      <c r="AF14" s="20">
        <v>0.0</v>
      </c>
      <c r="AG14" s="21">
        <f>1+$T$14</f>
        <v>1</v>
      </c>
      <c r="AH14" s="19" t="s">
        <v>92</v>
      </c>
      <c r="AI14" s="20">
        <v>0.0</v>
      </c>
      <c r="AJ14" s="20">
        <v>0.0</v>
      </c>
      <c r="AK14" s="21">
        <f>1+$T$14</f>
        <v>1</v>
      </c>
      <c r="AL14" s="19" t="s">
        <v>92</v>
      </c>
      <c r="AM14" s="20">
        <v>0.0</v>
      </c>
      <c r="AN14" s="20">
        <v>0.0</v>
      </c>
      <c r="AO14" s="21">
        <f>1+$T$14</f>
        <v>1</v>
      </c>
      <c r="AP14" s="19" t="s">
        <v>92</v>
      </c>
      <c r="AQ14" s="20">
        <v>0.0</v>
      </c>
      <c r="AR14" s="20">
        <v>0.0</v>
      </c>
      <c r="AS14" s="21">
        <f>1+$T$14</f>
        <v>1</v>
      </c>
      <c r="AT14" s="19" t="s">
        <v>92</v>
      </c>
      <c r="AU14" s="20">
        <v>0.0</v>
      </c>
      <c r="AV14" s="20">
        <v>0.0</v>
      </c>
      <c r="AW14" s="21">
        <f>1+$T$14</f>
        <v>1</v>
      </c>
      <c r="AX14" s="22" t="s">
        <v>92</v>
      </c>
      <c r="AY14" s="23">
        <v>0.0</v>
      </c>
      <c r="AZ14" s="23">
        <v>0.0</v>
      </c>
      <c r="BA14" s="24">
        <f>1+$T$14</f>
        <v>1</v>
      </c>
      <c r="BB14" s="22" t="s">
        <v>92</v>
      </c>
      <c r="BC14" s="23">
        <v>0.0</v>
      </c>
      <c r="BD14" s="23">
        <v>0.0</v>
      </c>
      <c r="BE14" s="24">
        <f>1+$T$14</f>
        <v>1</v>
      </c>
      <c r="BF14" s="22" t="s">
        <v>92</v>
      </c>
      <c r="BG14" s="23">
        <v>0.0</v>
      </c>
      <c r="BH14" s="23">
        <v>0.0</v>
      </c>
      <c r="BI14" s="24">
        <f>1+$T$14</f>
        <v>1</v>
      </c>
      <c r="BJ14" s="22" t="s">
        <v>92</v>
      </c>
      <c r="BK14" s="23">
        <v>0.0</v>
      </c>
      <c r="BL14" s="23">
        <v>0.0</v>
      </c>
      <c r="BM14" s="24">
        <f>1+$T$14</f>
        <v>1</v>
      </c>
    </row>
    <row r="15">
      <c r="A15" s="26" t="s">
        <v>23</v>
      </c>
      <c r="B15" s="3">
        <v>4.0</v>
      </c>
      <c r="C15" s="48">
        <v>3.0</v>
      </c>
      <c r="D15" s="3">
        <v>7.0</v>
      </c>
      <c r="E15" s="48">
        <v>2.0</v>
      </c>
      <c r="F15" s="3">
        <v>9.0</v>
      </c>
      <c r="G15" s="3">
        <v>5.0</v>
      </c>
      <c r="H15" s="3">
        <v>3.0</v>
      </c>
      <c r="I15" s="49">
        <v>6.0</v>
      </c>
      <c r="K15" s="15">
        <v>2.0</v>
      </c>
      <c r="L15" s="15">
        <v>2.0</v>
      </c>
      <c r="M15" s="15">
        <v>2.0</v>
      </c>
      <c r="N15" s="15">
        <v>2.0</v>
      </c>
      <c r="O15" s="26" t="s">
        <v>27</v>
      </c>
      <c r="P15" s="27" t="s">
        <v>76</v>
      </c>
      <c r="Q15" s="18" t="s">
        <v>93</v>
      </c>
      <c r="R15" s="5" t="s">
        <v>94</v>
      </c>
      <c r="S15" s="5">
        <v>1.0</v>
      </c>
      <c r="T15" s="5">
        <v>0.0</v>
      </c>
      <c r="U15" s="6">
        <f>(B16*$S$15)/5 + $T$15*B16/5</f>
        <v>0.8</v>
      </c>
      <c r="V15" s="7" t="s">
        <v>94</v>
      </c>
      <c r="W15" s="7">
        <v>1.0</v>
      </c>
      <c r="X15" s="7">
        <v>0.0</v>
      </c>
      <c r="Y15" s="8">
        <f>(C16*W$15)/5 + X$15*C16/5</f>
        <v>1.4</v>
      </c>
      <c r="Z15" s="9" t="s">
        <v>95</v>
      </c>
      <c r="AA15" s="9">
        <v>0.0</v>
      </c>
      <c r="AB15" s="9">
        <v>0.0</v>
      </c>
      <c r="AC15" s="10">
        <f>(G16+AA$15)/5 + AB$15*G16/5</f>
        <v>2</v>
      </c>
      <c r="AD15" s="19" t="s">
        <v>95</v>
      </c>
      <c r="AE15" s="20">
        <v>0.0</v>
      </c>
      <c r="AF15" s="20">
        <v>0.0</v>
      </c>
      <c r="AG15" s="21">
        <f>(E16+$S$15)/5 + $T$15*E16/5</f>
        <v>0.8</v>
      </c>
      <c r="AH15" s="19" t="s">
        <v>95</v>
      </c>
      <c r="AI15" s="20">
        <v>0.0</v>
      </c>
      <c r="AJ15" s="20">
        <v>0.0</v>
      </c>
      <c r="AK15" s="21">
        <f>(F16+$S$15)/5 + $T$15*F16/5</f>
        <v>2</v>
      </c>
      <c r="AL15" s="19" t="s">
        <v>95</v>
      </c>
      <c r="AM15" s="20">
        <v>0.0</v>
      </c>
      <c r="AN15" s="20">
        <v>0.0</v>
      </c>
      <c r="AO15" s="21">
        <f>(G16+$S$15)/5 + $T$15*G16/5</f>
        <v>2.2</v>
      </c>
      <c r="AP15" s="19" t="s">
        <v>95</v>
      </c>
      <c r="AQ15" s="20">
        <v>0.0</v>
      </c>
      <c r="AR15" s="20">
        <v>0.0</v>
      </c>
      <c r="AS15" s="21">
        <f>(H16+$S$15)/5 + $T$15*H16/5</f>
        <v>0.8</v>
      </c>
      <c r="AT15" s="19" t="s">
        <v>95</v>
      </c>
      <c r="AU15" s="20">
        <v>0.0</v>
      </c>
      <c r="AV15" s="20">
        <v>0.0</v>
      </c>
      <c r="AW15" s="21">
        <f>(I16+$S$15)/5 + $T$15*I16/5</f>
        <v>1.4</v>
      </c>
      <c r="AX15" s="22" t="s">
        <v>95</v>
      </c>
      <c r="AY15" s="23">
        <v>0.0</v>
      </c>
      <c r="AZ15" s="23">
        <v>0.0</v>
      </c>
      <c r="BA15" s="24">
        <f>(J16+$S$15)/5 + $T$15*J16/5</f>
        <v>0.2</v>
      </c>
      <c r="BB15" s="22" t="s">
        <v>95</v>
      </c>
      <c r="BC15" s="23">
        <v>0.0</v>
      </c>
      <c r="BD15" s="23">
        <v>0.0</v>
      </c>
      <c r="BE15" s="24">
        <f>(K16+$S$15)/5 + $T$15*K16/5</f>
        <v>0.4</v>
      </c>
      <c r="BF15" s="22" t="s">
        <v>95</v>
      </c>
      <c r="BG15" s="23">
        <v>0.0</v>
      </c>
      <c r="BH15" s="23">
        <v>0.0</v>
      </c>
      <c r="BI15" s="24">
        <f>(L16+$S$15)/5 + $T$15*L16/5</f>
        <v>0.6</v>
      </c>
      <c r="BJ15" s="22" t="s">
        <v>95</v>
      </c>
      <c r="BK15" s="23">
        <v>0.0</v>
      </c>
      <c r="BL15" s="23">
        <v>0.0</v>
      </c>
      <c r="BM15" s="24">
        <f>(M16+$S$15)/5 + $T$15*M16/5</f>
        <v>0.6</v>
      </c>
    </row>
    <row r="16">
      <c r="A16" s="26" t="s">
        <v>24</v>
      </c>
      <c r="B16" s="48">
        <v>4.0</v>
      </c>
      <c r="C16" s="3">
        <v>7.0</v>
      </c>
      <c r="D16" s="3">
        <v>6.0</v>
      </c>
      <c r="E16" s="48">
        <v>3.0</v>
      </c>
      <c r="F16" s="3">
        <v>9.0</v>
      </c>
      <c r="G16" s="48">
        <v>10.0</v>
      </c>
      <c r="H16" s="3">
        <v>3.0</v>
      </c>
      <c r="I16" s="50">
        <v>6.0</v>
      </c>
      <c r="K16" s="15">
        <v>1.0</v>
      </c>
      <c r="L16" s="15">
        <v>2.0</v>
      </c>
      <c r="M16" s="15">
        <v>2.0</v>
      </c>
      <c r="N16" s="15">
        <v>2.0</v>
      </c>
      <c r="O16" s="53" t="s">
        <v>27</v>
      </c>
      <c r="P16" s="54" t="s">
        <v>76</v>
      </c>
      <c r="Q16" s="4" t="s">
        <v>96</v>
      </c>
      <c r="R16" s="5" t="s">
        <v>97</v>
      </c>
      <c r="S16" s="5">
        <v>0.0</v>
      </c>
      <c r="T16" s="5">
        <v>0.0</v>
      </c>
      <c r="U16" s="6">
        <f>U2/10+$T$16+S16</f>
        <v>1.5</v>
      </c>
      <c r="V16" s="7" t="s">
        <v>97</v>
      </c>
      <c r="W16" s="7">
        <v>0.0</v>
      </c>
      <c r="X16" s="7">
        <v>0.0</v>
      </c>
      <c r="Y16" s="8">
        <f>Y2/10+X$16+W16</f>
        <v>0.6</v>
      </c>
      <c r="Z16" s="9" t="s">
        <v>97</v>
      </c>
      <c r="AA16" s="9">
        <v>0.0</v>
      </c>
      <c r="AB16" s="9">
        <v>0.0</v>
      </c>
      <c r="AC16" s="10">
        <f>AC2/10+AB$16+AA16</f>
        <v>0.6</v>
      </c>
      <c r="AD16" s="19" t="s">
        <v>97</v>
      </c>
      <c r="AE16" s="3">
        <v>0.0</v>
      </c>
      <c r="AF16" s="20">
        <v>0.0</v>
      </c>
      <c r="AG16" s="2">
        <f>AG2/10+$T$16</f>
        <v>0.9</v>
      </c>
      <c r="AH16" s="19" t="s">
        <v>97</v>
      </c>
      <c r="AI16" s="3">
        <v>0.0</v>
      </c>
      <c r="AJ16" s="20">
        <v>0.0</v>
      </c>
      <c r="AK16" s="2">
        <f>AK2/10+$T$16</f>
        <v>0.3</v>
      </c>
      <c r="AL16" s="19" t="s">
        <v>97</v>
      </c>
      <c r="AM16" s="3">
        <v>0.0</v>
      </c>
      <c r="AN16" s="20">
        <v>0.0</v>
      </c>
      <c r="AO16" s="2">
        <f>AO2/10+$T$16</f>
        <v>0.9</v>
      </c>
      <c r="AP16" s="19" t="s">
        <v>97</v>
      </c>
      <c r="AQ16" s="3">
        <v>0.0</v>
      </c>
      <c r="AR16" s="20">
        <v>0.0</v>
      </c>
      <c r="AS16" s="2">
        <f>AS2/10+$T$16</f>
        <v>1.2</v>
      </c>
      <c r="AT16" s="19" t="s">
        <v>97</v>
      </c>
      <c r="AU16" s="3">
        <v>0.0</v>
      </c>
      <c r="AV16" s="20">
        <v>0.0</v>
      </c>
      <c r="AW16" s="2">
        <f>AW2/10+$T$16</f>
        <v>0.6</v>
      </c>
      <c r="AX16" s="22" t="s">
        <v>97</v>
      </c>
      <c r="AY16" s="55">
        <v>0.0</v>
      </c>
      <c r="AZ16" s="23">
        <v>0.0</v>
      </c>
      <c r="BA16" s="56">
        <f>BA2/10+$T$16</f>
        <v>0</v>
      </c>
      <c r="BB16" s="22" t="s">
        <v>97</v>
      </c>
      <c r="BC16" s="55">
        <v>0.0</v>
      </c>
      <c r="BD16" s="23">
        <v>0.0</v>
      </c>
      <c r="BE16" s="56">
        <f>BE2/10+$T$16</f>
        <v>0.75</v>
      </c>
      <c r="BF16" s="22" t="s">
        <v>97</v>
      </c>
      <c r="BG16" s="55">
        <v>0.0</v>
      </c>
      <c r="BH16" s="23">
        <v>0.0</v>
      </c>
      <c r="BI16" s="56">
        <f>BI2/10+$T$16</f>
        <v>0.3</v>
      </c>
      <c r="BJ16" s="22" t="s">
        <v>97</v>
      </c>
      <c r="BK16" s="55">
        <v>0.0</v>
      </c>
      <c r="BL16" s="23">
        <v>0.0</v>
      </c>
      <c r="BM16" s="56">
        <f>BM2/10+$T$16</f>
        <v>0.45</v>
      </c>
    </row>
    <row r="17">
      <c r="A17" s="26" t="s">
        <v>25</v>
      </c>
      <c r="B17" s="3">
        <v>7.0</v>
      </c>
      <c r="C17" s="48">
        <v>3.0</v>
      </c>
      <c r="D17" s="48">
        <v>2.0</v>
      </c>
      <c r="E17" s="48">
        <v>3.0</v>
      </c>
      <c r="F17" s="3">
        <v>5.0</v>
      </c>
      <c r="G17" s="3">
        <v>6.0</v>
      </c>
      <c r="H17" s="48">
        <v>10.0</v>
      </c>
      <c r="I17" s="49">
        <v>4.0</v>
      </c>
      <c r="K17" s="15">
        <v>2.0</v>
      </c>
      <c r="L17" s="15">
        <v>2.0</v>
      </c>
      <c r="M17" s="15">
        <v>2.0</v>
      </c>
      <c r="N17" s="15">
        <v>2.0</v>
      </c>
      <c r="O17" s="57" t="s">
        <v>39</v>
      </c>
      <c r="P17" s="58" t="s">
        <v>98</v>
      </c>
      <c r="Q17" s="4" t="s">
        <v>77</v>
      </c>
      <c r="R17" s="5" t="s">
        <v>99</v>
      </c>
      <c r="S17" s="28">
        <v>0.0</v>
      </c>
      <c r="T17" s="28">
        <v>0.0</v>
      </c>
      <c r="U17" s="29">
        <f>S17+$T$17</f>
        <v>0</v>
      </c>
      <c r="V17" s="7" t="s">
        <v>99</v>
      </c>
      <c r="W17" s="30">
        <v>0.0</v>
      </c>
      <c r="X17" s="30">
        <v>0.0</v>
      </c>
      <c r="Y17" s="31">
        <f>X$17+W17</f>
        <v>0</v>
      </c>
      <c r="Z17" s="9" t="s">
        <v>99</v>
      </c>
      <c r="AA17" s="9">
        <v>0.01</v>
      </c>
      <c r="AB17" s="9">
        <v>0.0</v>
      </c>
      <c r="AC17" s="10">
        <f>AB$17+AA17</f>
        <v>0.01</v>
      </c>
      <c r="AD17" s="59" t="s">
        <v>99</v>
      </c>
      <c r="AE17" s="60">
        <v>0.01</v>
      </c>
      <c r="AF17" s="20">
        <v>0.0</v>
      </c>
      <c r="AG17" s="61">
        <f>(E15+E16)*$S$17/10+(E15+E16)*$T$17/10</f>
        <v>0</v>
      </c>
      <c r="AH17" s="59" t="s">
        <v>99</v>
      </c>
      <c r="AI17" s="60">
        <v>0.01</v>
      </c>
      <c r="AJ17" s="20">
        <v>0.0</v>
      </c>
      <c r="AK17" s="61">
        <f>(F15+F16)*$S$17/10+(F15+F16)*$T$17/10</f>
        <v>0</v>
      </c>
      <c r="AL17" s="59" t="s">
        <v>99</v>
      </c>
      <c r="AM17" s="60">
        <v>0.01</v>
      </c>
      <c r="AN17" s="20">
        <v>0.0</v>
      </c>
      <c r="AO17" s="61">
        <f>(G15+G16)*$S$17/10+(G15+G16)*$T$17/10</f>
        <v>0</v>
      </c>
      <c r="AP17" s="59" t="s">
        <v>99</v>
      </c>
      <c r="AQ17" s="60">
        <v>0.01</v>
      </c>
      <c r="AR17" s="20">
        <v>0.0</v>
      </c>
      <c r="AS17" s="61">
        <f>(H15+H16)*$S$17/10+(H15+H16)*$T$17/10</f>
        <v>0</v>
      </c>
      <c r="AT17" s="59" t="s">
        <v>99</v>
      </c>
      <c r="AU17" s="60">
        <v>0.01</v>
      </c>
      <c r="AV17" s="20">
        <v>0.0</v>
      </c>
      <c r="AW17" s="61">
        <f>(I15+I16)*$S$17/10+(I15+I16)*$T$17/10</f>
        <v>0</v>
      </c>
      <c r="AX17" s="62" t="s">
        <v>99</v>
      </c>
      <c r="AY17" s="63">
        <v>0.01</v>
      </c>
      <c r="AZ17" s="23">
        <v>0.0</v>
      </c>
      <c r="BA17" s="64">
        <f>(J15+J16)*$S$17/10+(J15+J16)*$T$17/10</f>
        <v>0</v>
      </c>
      <c r="BB17" s="62" t="s">
        <v>99</v>
      </c>
      <c r="BC17" s="63">
        <v>0.01</v>
      </c>
      <c r="BD17" s="23">
        <v>0.0</v>
      </c>
      <c r="BE17" s="64">
        <f>(K15+K16)*$S$17/10+(K15+K16)*$T$17/10</f>
        <v>0</v>
      </c>
      <c r="BF17" s="62" t="s">
        <v>99</v>
      </c>
      <c r="BG17" s="63">
        <v>0.01</v>
      </c>
      <c r="BH17" s="23">
        <v>0.0</v>
      </c>
      <c r="BI17" s="64">
        <f>(L15+L16)*$S$17/10+(L15+L16)*$T$17/10</f>
        <v>0</v>
      </c>
      <c r="BJ17" s="62" t="s">
        <v>99</v>
      </c>
      <c r="BK17" s="63">
        <v>0.01</v>
      </c>
      <c r="BL17" s="23">
        <v>0.0</v>
      </c>
      <c r="BM17" s="64">
        <f>(M15+M16)*$S$17/10+(M15+M16)*$T$17/10</f>
        <v>0</v>
      </c>
    </row>
    <row r="18">
      <c r="A18" s="26" t="s">
        <v>26</v>
      </c>
      <c r="B18" s="48">
        <v>3.0</v>
      </c>
      <c r="C18" s="3">
        <v>3.0</v>
      </c>
      <c r="D18" s="48">
        <v>5.0</v>
      </c>
      <c r="E18" s="48">
        <v>5.0</v>
      </c>
      <c r="F18" s="48">
        <v>2.0</v>
      </c>
      <c r="G18" s="48">
        <v>2.0</v>
      </c>
      <c r="H18" s="48">
        <v>3.0</v>
      </c>
      <c r="I18" s="49">
        <v>9.0</v>
      </c>
      <c r="K18" s="15">
        <v>2.0</v>
      </c>
      <c r="L18" s="15">
        <v>1.0</v>
      </c>
      <c r="M18" s="15">
        <v>1.0</v>
      </c>
      <c r="N18" s="15">
        <v>1.0</v>
      </c>
      <c r="O18" s="57" t="s">
        <v>39</v>
      </c>
      <c r="P18" s="58" t="s">
        <v>100</v>
      </c>
      <c r="Q18" s="18" t="s">
        <v>101</v>
      </c>
      <c r="R18" s="5" t="s">
        <v>102</v>
      </c>
      <c r="S18" s="5">
        <v>0.0</v>
      </c>
      <c r="T18" s="5">
        <v>0.0</v>
      </c>
      <c r="U18" s="6">
        <f>S$18*B16/10+T$18*B16/10</f>
        <v>0</v>
      </c>
      <c r="V18" s="7" t="s">
        <v>102</v>
      </c>
      <c r="W18" s="7">
        <v>0.0</v>
      </c>
      <c r="X18" s="7">
        <v>0.0</v>
      </c>
      <c r="Y18" s="8">
        <f>W$18*C16/10+X$18*C16/10</f>
        <v>0</v>
      </c>
      <c r="Z18" s="9"/>
      <c r="AA18" s="9"/>
      <c r="AB18" s="9"/>
      <c r="AC18" s="10">
        <f>AA$18*(10*G16/100)+AB$18*(30*G16/100)</f>
        <v>0</v>
      </c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</row>
    <row r="19">
      <c r="A19" s="65" t="s">
        <v>103</v>
      </c>
      <c r="B19" s="66">
        <f t="shared" ref="B19:I19" si="1">SUM(B11:B18)</f>
        <v>40</v>
      </c>
      <c r="C19" s="66">
        <f t="shared" si="1"/>
        <v>40</v>
      </c>
      <c r="D19" s="66">
        <f t="shared" si="1"/>
        <v>40</v>
      </c>
      <c r="E19" s="66">
        <f t="shared" si="1"/>
        <v>40</v>
      </c>
      <c r="F19" s="66">
        <f t="shared" si="1"/>
        <v>40</v>
      </c>
      <c r="G19" s="66">
        <f t="shared" si="1"/>
        <v>40</v>
      </c>
      <c r="H19" s="66">
        <f t="shared" si="1"/>
        <v>40</v>
      </c>
      <c r="I19" s="67">
        <f t="shared" si="1"/>
        <v>40</v>
      </c>
      <c r="K19" s="15">
        <v>0.0</v>
      </c>
      <c r="L19" s="15">
        <v>0.0</v>
      </c>
      <c r="M19" s="15">
        <v>0.0</v>
      </c>
      <c r="N19" s="15">
        <v>0.0</v>
      </c>
      <c r="O19" s="26" t="s">
        <v>27</v>
      </c>
      <c r="P19" s="27" t="s">
        <v>56</v>
      </c>
      <c r="Q19" s="4" t="s">
        <v>104</v>
      </c>
      <c r="R19" s="5" t="s">
        <v>105</v>
      </c>
      <c r="S19" s="5">
        <v>4.0</v>
      </c>
      <c r="T19" s="5">
        <v>0.0</v>
      </c>
      <c r="U19" s="6">
        <f>S19*(3*B16/100)+T19*(3*B16/100)</f>
        <v>0.48</v>
      </c>
      <c r="V19" s="7" t="s">
        <v>105</v>
      </c>
      <c r="W19" s="7">
        <v>4.0</v>
      </c>
      <c r="X19" s="7">
        <v>0.0</v>
      </c>
      <c r="Y19" s="8">
        <f>W19*(3*C16/100)+X19*(3*C16/100)</f>
        <v>0.84</v>
      </c>
      <c r="Z19" s="9" t="s">
        <v>105</v>
      </c>
      <c r="AA19" s="9">
        <v>0.1</v>
      </c>
      <c r="AB19" s="9">
        <v>0.0</v>
      </c>
      <c r="AC19" s="10">
        <f>AA19*(3*G16/100)+AB19*(3*G16/100)</f>
        <v>0.03</v>
      </c>
      <c r="AD19" s="68" t="s">
        <v>105</v>
      </c>
      <c r="AE19" s="60">
        <v>0.1</v>
      </c>
      <c r="AF19" s="20">
        <v>0.0</v>
      </c>
      <c r="AG19" s="69"/>
      <c r="AH19" s="68" t="s">
        <v>105</v>
      </c>
      <c r="AI19" s="60">
        <v>0.1</v>
      </c>
      <c r="AJ19" s="20">
        <v>0.0</v>
      </c>
      <c r="AK19" s="69"/>
      <c r="AL19" s="68" t="s">
        <v>105</v>
      </c>
      <c r="AM19" s="60">
        <v>0.1</v>
      </c>
      <c r="AN19" s="20">
        <v>0.0</v>
      </c>
      <c r="AO19" s="69"/>
      <c r="AP19" s="68" t="s">
        <v>105</v>
      </c>
      <c r="AQ19" s="60">
        <v>0.1</v>
      </c>
      <c r="AR19" s="20">
        <v>0.0</v>
      </c>
      <c r="AS19" s="69"/>
      <c r="AT19" s="68" t="s">
        <v>105</v>
      </c>
      <c r="AU19" s="60">
        <v>0.1</v>
      </c>
      <c r="AV19" s="20">
        <v>0.0</v>
      </c>
      <c r="AW19" s="69"/>
      <c r="AX19" s="70" t="s">
        <v>105</v>
      </c>
      <c r="AY19" s="63">
        <v>0.1</v>
      </c>
      <c r="AZ19" s="23">
        <v>0.0</v>
      </c>
      <c r="BA19" s="71"/>
      <c r="BB19" s="70" t="s">
        <v>105</v>
      </c>
      <c r="BC19" s="63">
        <v>0.1</v>
      </c>
      <c r="BD19" s="23">
        <v>0.0</v>
      </c>
      <c r="BE19" s="71"/>
      <c r="BF19" s="70" t="s">
        <v>105</v>
      </c>
      <c r="BG19" s="63">
        <v>0.1</v>
      </c>
      <c r="BH19" s="23">
        <v>0.0</v>
      </c>
      <c r="BI19" s="71"/>
      <c r="BJ19" s="70" t="s">
        <v>105</v>
      </c>
      <c r="BK19" s="63">
        <v>0.1</v>
      </c>
      <c r="BL19" s="23">
        <v>0.0</v>
      </c>
      <c r="BM19" s="71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72">
        <f t="shared" ref="K20:N20" si="2">SUM(K11:K19)</f>
        <v>21</v>
      </c>
      <c r="L20" s="72">
        <f t="shared" si="2"/>
        <v>21</v>
      </c>
      <c r="M20" s="72">
        <f t="shared" si="2"/>
        <v>21</v>
      </c>
      <c r="N20" s="72">
        <f t="shared" si="2"/>
        <v>21</v>
      </c>
      <c r="O20" s="73" t="s">
        <v>39</v>
      </c>
      <c r="P20" s="58" t="s">
        <v>100</v>
      </c>
      <c r="Q20" s="4" t="s">
        <v>106</v>
      </c>
      <c r="R20" s="5" t="s">
        <v>107</v>
      </c>
      <c r="S20" s="5">
        <v>200.0</v>
      </c>
      <c r="T20" s="28">
        <v>0.0</v>
      </c>
      <c r="U20" s="6">
        <f>S20+(1+$T$20*B14)*10</f>
        <v>210</v>
      </c>
      <c r="V20" s="7" t="s">
        <v>107</v>
      </c>
      <c r="W20" s="7">
        <v>150.0</v>
      </c>
      <c r="X20" s="7">
        <v>0.0</v>
      </c>
      <c r="Y20" s="8">
        <f>W20+(1+X$20*C14)*10</f>
        <v>160</v>
      </c>
      <c r="Z20" s="9" t="s">
        <v>107</v>
      </c>
      <c r="AA20" s="9">
        <v>1.0</v>
      </c>
      <c r="AB20" s="9">
        <v>0.0</v>
      </c>
      <c r="AC20" s="10">
        <f>AA20+(1+AB$20*G14)*10</f>
        <v>11</v>
      </c>
      <c r="AD20" s="68" t="s">
        <v>107</v>
      </c>
      <c r="AE20" s="60">
        <v>1.0</v>
      </c>
      <c r="AF20" s="20">
        <v>0.0</v>
      </c>
      <c r="AG20" s="74">
        <f>($S$20*E14+$T$20*E14)/2</f>
        <v>900</v>
      </c>
      <c r="AH20" s="68" t="s">
        <v>107</v>
      </c>
      <c r="AI20" s="60">
        <v>1.0</v>
      </c>
      <c r="AJ20" s="20">
        <v>0.0</v>
      </c>
      <c r="AK20" s="74">
        <f>($S$20*F14+$T$20*F14)/2</f>
        <v>300</v>
      </c>
      <c r="AL20" s="68" t="s">
        <v>107</v>
      </c>
      <c r="AM20" s="60">
        <v>1.0</v>
      </c>
      <c r="AN20" s="20">
        <v>0.0</v>
      </c>
      <c r="AO20" s="74">
        <f>($S$20*G14+$T$20*G14)/2</f>
        <v>200</v>
      </c>
      <c r="AP20" s="68" t="s">
        <v>107</v>
      </c>
      <c r="AQ20" s="60">
        <v>1.0</v>
      </c>
      <c r="AR20" s="20">
        <v>0.0</v>
      </c>
      <c r="AS20" s="74">
        <f>($S$20*H14+$T$20*H14)/2</f>
        <v>400</v>
      </c>
      <c r="AT20" s="68" t="s">
        <v>107</v>
      </c>
      <c r="AU20" s="60">
        <v>1.0</v>
      </c>
      <c r="AV20" s="20">
        <v>0.0</v>
      </c>
      <c r="AW20" s="74">
        <f>($S$20*I14+$T$20*I14)/2</f>
        <v>300</v>
      </c>
      <c r="AX20" s="70" t="s">
        <v>107</v>
      </c>
      <c r="AY20" s="63">
        <v>1.0</v>
      </c>
      <c r="AZ20" s="23">
        <v>0.0</v>
      </c>
      <c r="BA20" s="24">
        <f>($S$20*K14+$T$20*K14)/2</f>
        <v>200</v>
      </c>
      <c r="BB20" s="70" t="s">
        <v>107</v>
      </c>
      <c r="BC20" s="63">
        <v>1.0</v>
      </c>
      <c r="BD20" s="23">
        <v>0.0</v>
      </c>
      <c r="BE20" s="24">
        <f>($S$20*L14+$T$20*L14)/2</f>
        <v>300</v>
      </c>
      <c r="BF20" s="70" t="s">
        <v>107</v>
      </c>
      <c r="BG20" s="63">
        <v>1.0</v>
      </c>
      <c r="BH20" s="23">
        <v>0.0</v>
      </c>
      <c r="BI20" s="24">
        <f>($S$20*M14+$T$20*M14)/2</f>
        <v>200</v>
      </c>
      <c r="BJ20" s="70" t="s">
        <v>107</v>
      </c>
      <c r="BK20" s="63">
        <v>1.0</v>
      </c>
      <c r="BL20" s="23">
        <v>0.0</v>
      </c>
      <c r="BM20" s="24">
        <f>($S$20*N14+$T$20*N14)/2</f>
        <v>200</v>
      </c>
    </row>
    <row r="21">
      <c r="A21" s="19" t="s">
        <v>19</v>
      </c>
      <c r="B21" s="15" t="s">
        <v>108</v>
      </c>
      <c r="C21" s="15" t="s">
        <v>109</v>
      </c>
      <c r="D21" s="15" t="s">
        <v>110</v>
      </c>
      <c r="E21" s="15" t="s">
        <v>111</v>
      </c>
      <c r="K21" s="15"/>
      <c r="L21" s="15"/>
      <c r="M21" s="15"/>
      <c r="N21" s="15"/>
      <c r="O21" s="73" t="s">
        <v>27</v>
      </c>
      <c r="P21" s="75" t="s">
        <v>76</v>
      </c>
      <c r="Q21" s="18" t="s">
        <v>112</v>
      </c>
      <c r="R21" s="5" t="s">
        <v>113</v>
      </c>
      <c r="S21" s="5">
        <v>20.0</v>
      </c>
      <c r="T21" s="5">
        <v>0.0</v>
      </c>
      <c r="U21" s="6">
        <f>S21*B14+T21*B14</f>
        <v>100</v>
      </c>
      <c r="V21" s="7" t="s">
        <v>113</v>
      </c>
      <c r="W21" s="7">
        <v>20.0</v>
      </c>
      <c r="X21" s="7">
        <v>0.0</v>
      </c>
      <c r="Y21" s="8">
        <f>T21*C14+W21*C14</f>
        <v>100</v>
      </c>
      <c r="Z21" s="9" t="s">
        <v>113</v>
      </c>
      <c r="AA21" s="9">
        <v>400.0</v>
      </c>
      <c r="AB21" s="9">
        <v>0.0</v>
      </c>
      <c r="AC21" s="10">
        <f>X21*G14+AA21*G14</f>
        <v>800</v>
      </c>
      <c r="AD21" s="68" t="s">
        <v>113</v>
      </c>
      <c r="AE21" s="60">
        <v>400.0</v>
      </c>
      <c r="AF21" s="20">
        <v>0.0</v>
      </c>
      <c r="AG21" s="69">
        <f>$S$21+$T$21</f>
        <v>20</v>
      </c>
      <c r="AH21" s="68" t="s">
        <v>113</v>
      </c>
      <c r="AI21" s="60">
        <v>400.0</v>
      </c>
      <c r="AJ21" s="20">
        <v>0.0</v>
      </c>
      <c r="AK21" s="69">
        <f>$S$21+$T$21</f>
        <v>20</v>
      </c>
      <c r="AL21" s="68" t="s">
        <v>113</v>
      </c>
      <c r="AM21" s="60">
        <v>400.0</v>
      </c>
      <c r="AN21" s="20">
        <v>0.0</v>
      </c>
      <c r="AO21" s="69">
        <f>$S$21+$T$21</f>
        <v>20</v>
      </c>
      <c r="AP21" s="68" t="s">
        <v>113</v>
      </c>
      <c r="AQ21" s="60">
        <v>400.0</v>
      </c>
      <c r="AR21" s="20">
        <v>0.0</v>
      </c>
      <c r="AS21" s="69">
        <f>$S$21+$T$21</f>
        <v>20</v>
      </c>
      <c r="AT21" s="68" t="s">
        <v>113</v>
      </c>
      <c r="AU21" s="60">
        <v>400.0</v>
      </c>
      <c r="AV21" s="20">
        <v>0.0</v>
      </c>
      <c r="AW21" s="69">
        <f>$S$21+$T$21</f>
        <v>20</v>
      </c>
      <c r="AX21" s="70" t="s">
        <v>113</v>
      </c>
      <c r="AY21" s="63">
        <v>400.0</v>
      </c>
      <c r="AZ21" s="23">
        <v>0.0</v>
      </c>
      <c r="BA21" s="71">
        <f>$S$21+$T$21</f>
        <v>20</v>
      </c>
      <c r="BB21" s="70" t="s">
        <v>113</v>
      </c>
      <c r="BC21" s="63">
        <v>400.0</v>
      </c>
      <c r="BD21" s="23">
        <v>0.0</v>
      </c>
      <c r="BE21" s="71">
        <f>$S$21+$T$21</f>
        <v>20</v>
      </c>
      <c r="BF21" s="70" t="s">
        <v>113</v>
      </c>
      <c r="BG21" s="63">
        <v>400.0</v>
      </c>
      <c r="BH21" s="23">
        <v>0.0</v>
      </c>
      <c r="BI21" s="71">
        <f>$S$21+$T$21</f>
        <v>20</v>
      </c>
      <c r="BJ21" s="70" t="s">
        <v>113</v>
      </c>
      <c r="BK21" s="63">
        <v>400.0</v>
      </c>
      <c r="BL21" s="23">
        <v>0.0</v>
      </c>
      <c r="BM21" s="71">
        <f>$S$21+$T$21</f>
        <v>20</v>
      </c>
    </row>
    <row r="22">
      <c r="A22" s="19" t="s">
        <v>20</v>
      </c>
      <c r="B22" s="15" t="s">
        <v>114</v>
      </c>
      <c r="C22" s="15" t="s">
        <v>115</v>
      </c>
      <c r="D22" s="15" t="s">
        <v>116</v>
      </c>
      <c r="E22" s="15" t="s">
        <v>117</v>
      </c>
      <c r="K22" s="15"/>
      <c r="L22" s="15"/>
      <c r="M22" s="15"/>
      <c r="N22" s="15"/>
      <c r="O22" s="76" t="s">
        <v>39</v>
      </c>
      <c r="P22" s="77" t="s">
        <v>90</v>
      </c>
      <c r="Q22" s="4" t="s">
        <v>77</v>
      </c>
      <c r="R22" s="5" t="s">
        <v>118</v>
      </c>
      <c r="S22" s="5">
        <v>1.0</v>
      </c>
      <c r="T22" s="5">
        <v>0.0</v>
      </c>
      <c r="U22" s="6">
        <f>$S$22+$T$22</f>
        <v>1</v>
      </c>
      <c r="V22" s="7" t="s">
        <v>118</v>
      </c>
      <c r="W22" s="7">
        <v>1.0</v>
      </c>
      <c r="X22" s="7">
        <v>0.0</v>
      </c>
      <c r="Y22" s="8">
        <f>W$22*1+X$22</f>
        <v>1</v>
      </c>
      <c r="Z22" s="9" t="s">
        <v>118</v>
      </c>
      <c r="AA22" s="9">
        <v>1.0</v>
      </c>
      <c r="AB22" s="9">
        <v>0.0</v>
      </c>
      <c r="AC22" s="10">
        <f>AA$22*1+AB$22</f>
        <v>1</v>
      </c>
      <c r="AD22" s="78" t="s">
        <v>118</v>
      </c>
      <c r="AE22" s="60">
        <v>1.0</v>
      </c>
      <c r="AF22" s="20">
        <v>0.0</v>
      </c>
      <c r="AG22" s="79">
        <f>$S$22*1+$T$22</f>
        <v>1</v>
      </c>
      <c r="AH22" s="78" t="s">
        <v>118</v>
      </c>
      <c r="AI22" s="60">
        <v>1.0</v>
      </c>
      <c r="AJ22" s="20">
        <v>0.0</v>
      </c>
      <c r="AK22" s="79">
        <f>$S$22*1+$T$22</f>
        <v>1</v>
      </c>
      <c r="AL22" s="78" t="s">
        <v>118</v>
      </c>
      <c r="AM22" s="60">
        <v>1.0</v>
      </c>
      <c r="AN22" s="20">
        <v>0.0</v>
      </c>
      <c r="AO22" s="79">
        <f>$S$22*1+$T$22</f>
        <v>1</v>
      </c>
      <c r="AP22" s="78" t="s">
        <v>118</v>
      </c>
      <c r="AQ22" s="60">
        <v>1.0</v>
      </c>
      <c r="AR22" s="20">
        <v>0.0</v>
      </c>
      <c r="AS22" s="79">
        <f>$S$22*1+$T$22</f>
        <v>1</v>
      </c>
      <c r="AT22" s="78" t="s">
        <v>118</v>
      </c>
      <c r="AU22" s="60">
        <v>1.0</v>
      </c>
      <c r="AV22" s="20">
        <v>0.0</v>
      </c>
      <c r="AW22" s="79">
        <f>$S$22*1+$T$22</f>
        <v>1</v>
      </c>
      <c r="AX22" s="80" t="s">
        <v>118</v>
      </c>
      <c r="AY22" s="63">
        <v>1.0</v>
      </c>
      <c r="AZ22" s="23">
        <v>0.0</v>
      </c>
      <c r="BA22" s="81">
        <f>$S$22*1+$T$22</f>
        <v>1</v>
      </c>
      <c r="BB22" s="80" t="s">
        <v>118</v>
      </c>
      <c r="BC22" s="63">
        <v>1.0</v>
      </c>
      <c r="BD22" s="23">
        <v>0.0</v>
      </c>
      <c r="BE22" s="81">
        <f>$S$22*1+$T$22</f>
        <v>1</v>
      </c>
      <c r="BF22" s="80" t="s">
        <v>118</v>
      </c>
      <c r="BG22" s="63">
        <v>1.0</v>
      </c>
      <c r="BH22" s="23">
        <v>0.0</v>
      </c>
      <c r="BI22" s="81">
        <f>$S$22*1+$T$22</f>
        <v>1</v>
      </c>
      <c r="BJ22" s="80" t="s">
        <v>118</v>
      </c>
      <c r="BK22" s="63">
        <v>1.0</v>
      </c>
      <c r="BL22" s="23">
        <v>0.0</v>
      </c>
      <c r="BM22" s="81">
        <f>$S$22*1+$T$22</f>
        <v>1</v>
      </c>
    </row>
    <row r="23">
      <c r="A23" s="19" t="s">
        <v>21</v>
      </c>
      <c r="B23" s="15" t="s">
        <v>119</v>
      </c>
      <c r="C23" s="15" t="s">
        <v>120</v>
      </c>
      <c r="D23" s="15" t="s">
        <v>121</v>
      </c>
      <c r="E23" s="15" t="s">
        <v>122</v>
      </c>
      <c r="K23" s="15"/>
      <c r="L23" s="15"/>
      <c r="M23" s="15"/>
      <c r="N23" s="15"/>
      <c r="O23" s="82"/>
      <c r="P23" s="83"/>
      <c r="Q23" s="4"/>
      <c r="R23" s="5"/>
      <c r="S23" s="5"/>
      <c r="T23" s="5" t="s">
        <v>123</v>
      </c>
      <c r="U23" s="6">
        <f>(U2*(1+U3)*U4)*U5</f>
        <v>14.85</v>
      </c>
      <c r="V23" s="7"/>
      <c r="W23" s="7"/>
      <c r="X23" s="7" t="s">
        <v>123</v>
      </c>
      <c r="Y23" s="8">
        <f>(Y2*(1+Y3)*Y4)*Y5</f>
        <v>14.03568</v>
      </c>
      <c r="Z23" s="9"/>
      <c r="AA23" s="9"/>
      <c r="AB23" s="9"/>
      <c r="AC23" s="10">
        <f>(AC2*(1+AC3)*AC4)*AC5</f>
        <v>0.44064</v>
      </c>
      <c r="AG23" s="84">
        <f>(AG2*(1+AG3)*AG4)*AG5</f>
        <v>55.9872</v>
      </c>
      <c r="AK23" s="84">
        <f>(AK2*(1+AK3)*AK4)*AK5</f>
        <v>4.8204</v>
      </c>
      <c r="AO23" s="84">
        <f>(AO2*(1+AO3)*AO4)*AO5</f>
        <v>8.8128</v>
      </c>
      <c r="AS23" s="84">
        <f>(AS2*(1+AS3)*AS4)*AS5</f>
        <v>37.8</v>
      </c>
      <c r="AW23" s="84">
        <f>(AW2*(1+AW3)*AW4)*AW5</f>
        <v>9.6408</v>
      </c>
      <c r="AX23" s="56"/>
      <c r="AY23" s="56"/>
      <c r="AZ23" s="56"/>
      <c r="BA23" s="85">
        <f>(BA2*(1+BA3)*BA4)*BA5</f>
        <v>0</v>
      </c>
      <c r="BB23" s="56"/>
      <c r="BC23" s="56"/>
      <c r="BD23" s="56"/>
      <c r="BE23" s="85">
        <f>(BE2*(1+BE3)*BE4)*BE5</f>
        <v>23.625</v>
      </c>
      <c r="BF23" s="56"/>
      <c r="BG23" s="56"/>
      <c r="BH23" s="85"/>
      <c r="BI23" s="85">
        <f>(BI2*(1+BI3)*BI4)*BI5</f>
        <v>6.9888</v>
      </c>
      <c r="BJ23" s="56"/>
      <c r="BK23" s="85"/>
      <c r="BL23" s="85"/>
      <c r="BM23" s="85">
        <f>(BM2*(1+BM3)*BM4)*BM5</f>
        <v>27.9936</v>
      </c>
    </row>
    <row r="24">
      <c r="A24" s="19" t="s">
        <v>22</v>
      </c>
      <c r="B24" s="15" t="s">
        <v>124</v>
      </c>
      <c r="C24" s="15" t="s">
        <v>125</v>
      </c>
      <c r="D24" s="15" t="s">
        <v>126</v>
      </c>
      <c r="E24" s="15" t="s">
        <v>127</v>
      </c>
      <c r="K24" s="15"/>
      <c r="L24" s="15"/>
      <c r="M24" s="15"/>
      <c r="N24" s="15"/>
    </row>
    <row r="25">
      <c r="A25" s="19" t="s">
        <v>23</v>
      </c>
      <c r="B25" s="15" t="s">
        <v>128</v>
      </c>
      <c r="C25" s="15" t="s">
        <v>129</v>
      </c>
      <c r="D25" s="15" t="s">
        <v>130</v>
      </c>
      <c r="E25" s="15" t="s">
        <v>131</v>
      </c>
      <c r="K25" s="15"/>
      <c r="L25" s="15"/>
      <c r="M25" s="15"/>
      <c r="N25" s="15"/>
    </row>
    <row r="26">
      <c r="A26" s="19" t="s">
        <v>24</v>
      </c>
      <c r="B26" s="15" t="s">
        <v>132</v>
      </c>
      <c r="C26" s="15" t="s">
        <v>133</v>
      </c>
      <c r="D26" s="15" t="s">
        <v>134</v>
      </c>
      <c r="E26" s="15" t="s">
        <v>135</v>
      </c>
      <c r="K26" s="86"/>
      <c r="L26" s="86"/>
      <c r="M26" s="86"/>
      <c r="N26" s="86"/>
    </row>
    <row r="27">
      <c r="A27" s="19" t="s">
        <v>25</v>
      </c>
      <c r="B27" s="15" t="s">
        <v>136</v>
      </c>
      <c r="C27" s="15" t="s">
        <v>137</v>
      </c>
      <c r="D27" s="15" t="s">
        <v>138</v>
      </c>
      <c r="E27" s="15" t="s">
        <v>139</v>
      </c>
      <c r="K27" s="86"/>
      <c r="L27" s="86"/>
      <c r="M27" s="86"/>
      <c r="N27" s="86"/>
    </row>
    <row r="28">
      <c r="A28" s="19" t="s">
        <v>26</v>
      </c>
      <c r="B28" s="15" t="s">
        <v>140</v>
      </c>
      <c r="C28" s="15" t="s">
        <v>141</v>
      </c>
      <c r="D28" s="15" t="s">
        <v>142</v>
      </c>
      <c r="E28" s="15" t="s">
        <v>143</v>
      </c>
      <c r="K28" s="86"/>
      <c r="L28" s="86"/>
      <c r="M28" s="86"/>
      <c r="N28" s="86"/>
      <c r="O28" s="68"/>
      <c r="P28" s="68"/>
      <c r="Q28" s="2"/>
      <c r="R28" s="2"/>
      <c r="S28" s="2"/>
      <c r="T28" s="2"/>
      <c r="U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</row>
    <row r="29">
      <c r="K29" s="86"/>
      <c r="L29" s="86"/>
      <c r="M29" s="86"/>
      <c r="N29" s="86"/>
      <c r="O29" s="68"/>
      <c r="P29" s="68"/>
      <c r="Q29" s="2"/>
      <c r="R29" s="2"/>
      <c r="S29" s="2"/>
      <c r="T29" s="2"/>
      <c r="U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87"/>
      <c r="AN29" s="87"/>
      <c r="AO29" s="87"/>
      <c r="AP29" s="87"/>
      <c r="AQ29" s="87"/>
      <c r="AR29" s="87"/>
      <c r="AS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</row>
    <row r="30">
      <c r="K30" s="86"/>
      <c r="L30" s="86"/>
      <c r="M30" s="86"/>
      <c r="N30" s="86"/>
      <c r="O30" s="68"/>
      <c r="P30" s="68"/>
      <c r="Q30" s="2"/>
      <c r="R30" s="2"/>
      <c r="S30" s="2"/>
      <c r="T30" s="2"/>
      <c r="U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</row>
    <row r="31">
      <c r="A31" s="88" t="s">
        <v>68</v>
      </c>
      <c r="B31" s="89"/>
      <c r="C31" s="90"/>
      <c r="D31" s="90"/>
      <c r="E31" s="90"/>
      <c r="F31" s="91"/>
      <c r="K31" s="86"/>
      <c r="L31" s="86"/>
      <c r="M31" s="86"/>
      <c r="N31" s="86"/>
      <c r="O31" s="68"/>
      <c r="P31" s="68"/>
      <c r="Q31" s="2"/>
      <c r="R31" s="2"/>
      <c r="S31" s="2"/>
      <c r="T31" s="2"/>
      <c r="U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>
      <c r="A32" s="88" t="s">
        <v>69</v>
      </c>
      <c r="B32" s="92"/>
      <c r="C32" s="93"/>
      <c r="D32" s="93"/>
      <c r="E32" s="93"/>
      <c r="F32" s="94"/>
      <c r="H32" s="2"/>
      <c r="I32" s="2"/>
      <c r="J32" s="2"/>
      <c r="K32" s="86"/>
      <c r="L32" s="86"/>
      <c r="M32" s="86"/>
      <c r="N32" s="86"/>
      <c r="O32" s="68"/>
      <c r="P32" s="68"/>
      <c r="Q32" s="2"/>
      <c r="R32" s="2"/>
      <c r="S32" s="2"/>
      <c r="T32" s="2"/>
      <c r="U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BD32" s="2"/>
      <c r="BE32" s="2"/>
      <c r="BF32" s="2"/>
      <c r="BG32" s="2"/>
      <c r="BH32" s="2"/>
      <c r="BI32" s="2"/>
      <c r="BJ32" s="2"/>
      <c r="BK32" s="2"/>
      <c r="BL32" s="2"/>
      <c r="BM32" s="2"/>
    </row>
    <row r="33">
      <c r="A33" s="88" t="s">
        <v>144</v>
      </c>
      <c r="B33" s="92"/>
      <c r="C33" s="93"/>
      <c r="D33" s="93"/>
      <c r="E33" s="93"/>
      <c r="F33" s="94"/>
      <c r="H33" s="2"/>
      <c r="I33" s="2"/>
      <c r="J33" s="2"/>
      <c r="K33" s="86"/>
      <c r="L33" s="86"/>
      <c r="M33" s="86"/>
      <c r="N33" s="86"/>
      <c r="O33" s="68"/>
      <c r="P33" s="68"/>
      <c r="Q33" s="2"/>
      <c r="R33" s="2"/>
      <c r="S33" s="2"/>
      <c r="T33" s="2"/>
      <c r="U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BD33" s="2"/>
      <c r="BE33" s="2"/>
      <c r="BF33" s="2"/>
      <c r="BG33" s="2"/>
      <c r="BH33" s="2"/>
      <c r="BI33" s="2"/>
      <c r="BJ33" s="2"/>
      <c r="BK33" s="2"/>
      <c r="BL33" s="2"/>
      <c r="BM33" s="2"/>
    </row>
    <row r="34">
      <c r="A34" s="88" t="s">
        <v>71</v>
      </c>
      <c r="B34" s="92"/>
      <c r="C34" s="93"/>
      <c r="D34" s="93"/>
      <c r="E34" s="93"/>
      <c r="F34" s="94"/>
      <c r="I34" s="87"/>
      <c r="J34" s="2"/>
      <c r="K34" s="86"/>
      <c r="L34" s="86"/>
      <c r="M34" s="86"/>
      <c r="N34" s="86"/>
      <c r="O34" s="68"/>
      <c r="P34" s="68"/>
      <c r="Q34" s="2"/>
      <c r="R34" s="2"/>
      <c r="S34" s="2"/>
      <c r="T34" s="2"/>
      <c r="U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BD34" s="2"/>
      <c r="BE34" s="2"/>
      <c r="BF34" s="2"/>
      <c r="BG34" s="2"/>
      <c r="BH34" s="2"/>
      <c r="BI34" s="2"/>
      <c r="BJ34" s="2"/>
      <c r="BK34" s="2"/>
      <c r="BL34" s="2"/>
      <c r="BM34" s="2"/>
    </row>
    <row r="35">
      <c r="A35" s="88" t="s">
        <v>145</v>
      </c>
      <c r="B35" s="95"/>
      <c r="C35" s="96"/>
      <c r="D35" s="96"/>
      <c r="E35" s="96"/>
      <c r="F35" s="97"/>
      <c r="I35" s="87"/>
      <c r="J35" s="2"/>
      <c r="K35" s="98"/>
      <c r="L35" s="98"/>
      <c r="M35" s="98"/>
      <c r="N35" s="98"/>
      <c r="O35" s="68"/>
      <c r="P35" s="68"/>
      <c r="Q35" s="2"/>
      <c r="R35" s="2"/>
      <c r="S35" s="2"/>
      <c r="T35" s="2"/>
      <c r="U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BD35" s="2"/>
      <c r="BE35" s="2"/>
      <c r="BF35" s="2"/>
      <c r="BG35" s="2"/>
      <c r="BH35" s="2"/>
      <c r="BI35" s="2"/>
      <c r="BJ35" s="2"/>
      <c r="BK35" s="2"/>
      <c r="BL35" s="2"/>
      <c r="BM35" s="2"/>
    </row>
    <row r="36">
      <c r="A36" s="88" t="s">
        <v>146</v>
      </c>
      <c r="B36" s="95"/>
      <c r="C36" s="96"/>
      <c r="D36" s="96"/>
      <c r="E36" s="96"/>
      <c r="F36" s="97"/>
      <c r="I36" s="87"/>
      <c r="J36" s="2"/>
      <c r="K36" s="79"/>
      <c r="L36" s="79"/>
      <c r="M36" s="79"/>
      <c r="N36" s="79"/>
      <c r="O36" s="68"/>
      <c r="P36" s="68"/>
      <c r="Q36" s="2"/>
      <c r="R36" s="2"/>
      <c r="S36" s="2"/>
      <c r="T36" s="2"/>
      <c r="U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BD36" s="2"/>
      <c r="BE36" s="2"/>
      <c r="BF36" s="2"/>
      <c r="BG36" s="2"/>
      <c r="BH36" s="2"/>
      <c r="BI36" s="2"/>
      <c r="BJ36" s="2"/>
      <c r="BK36" s="2"/>
      <c r="BL36" s="2"/>
      <c r="BM36" s="2"/>
    </row>
    <row r="37">
      <c r="A37" s="88" t="s">
        <v>73</v>
      </c>
      <c r="B37" s="95"/>
      <c r="C37" s="96"/>
      <c r="D37" s="96"/>
      <c r="E37" s="96"/>
      <c r="F37" s="97"/>
      <c r="I37" s="87"/>
      <c r="J37" s="2"/>
      <c r="K37" s="2"/>
      <c r="L37" s="2"/>
      <c r="M37" s="2"/>
      <c r="N37" s="2"/>
      <c r="O37" s="79"/>
      <c r="P37" s="79"/>
      <c r="Q37" s="2"/>
      <c r="R37" s="2"/>
      <c r="S37" s="2"/>
      <c r="T37" s="2"/>
      <c r="U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BD37" s="2"/>
      <c r="BE37" s="2"/>
      <c r="BF37" s="2"/>
      <c r="BG37" s="2"/>
      <c r="BH37" s="2"/>
      <c r="BI37" s="2"/>
      <c r="BJ37" s="2"/>
      <c r="BK37" s="2"/>
      <c r="BL37" s="2"/>
      <c r="BM37" s="2"/>
    </row>
    <row r="38">
      <c r="A38" s="88" t="s">
        <v>74</v>
      </c>
      <c r="B38" s="95"/>
      <c r="C38" s="96"/>
      <c r="D38" s="96"/>
      <c r="E38" s="96"/>
      <c r="F38" s="97"/>
      <c r="I38" s="87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BD38" s="2"/>
      <c r="BE38" s="2"/>
      <c r="BF38" s="2"/>
      <c r="BG38" s="2"/>
      <c r="BH38" s="2"/>
      <c r="BI38" s="2"/>
      <c r="BJ38" s="2"/>
      <c r="BK38" s="2"/>
      <c r="BL38" s="2"/>
      <c r="BM38" s="2"/>
    </row>
    <row r="39">
      <c r="A39" s="88" t="s">
        <v>75</v>
      </c>
      <c r="B39" s="95"/>
      <c r="C39" s="96"/>
      <c r="D39" s="96"/>
      <c r="E39" s="96"/>
      <c r="F39" s="97"/>
      <c r="I39" s="1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BD39" s="2"/>
      <c r="BE39" s="2"/>
      <c r="BF39" s="2"/>
      <c r="BG39" s="2"/>
      <c r="BH39" s="2"/>
      <c r="BI39" s="2"/>
      <c r="BJ39" s="2"/>
      <c r="BK39" s="2"/>
      <c r="BL39" s="2"/>
      <c r="BM39" s="2"/>
    </row>
    <row r="40">
      <c r="A40" s="88" t="s">
        <v>147</v>
      </c>
      <c r="B40" s="95"/>
      <c r="C40" s="96"/>
      <c r="D40" s="96"/>
      <c r="E40" s="96"/>
      <c r="F40" s="97"/>
      <c r="I40" s="87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BD40" s="2"/>
      <c r="BE40" s="2"/>
      <c r="BF40" s="2"/>
      <c r="BG40" s="2"/>
      <c r="BH40" s="2"/>
      <c r="BI40" s="2"/>
      <c r="BJ40" s="2"/>
      <c r="BK40" s="2"/>
      <c r="BL40" s="2"/>
      <c r="BM40" s="2"/>
    </row>
    <row r="41">
      <c r="A41" s="88" t="s">
        <v>148</v>
      </c>
      <c r="B41" s="95"/>
      <c r="C41" s="96"/>
      <c r="D41" s="96"/>
      <c r="E41" s="96"/>
      <c r="F41" s="97"/>
      <c r="I41" s="87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BD41" s="2"/>
      <c r="BE41" s="2"/>
      <c r="BF41" s="2"/>
      <c r="BG41" s="2"/>
      <c r="BH41" s="2"/>
      <c r="BI41" s="2"/>
      <c r="BJ41" s="2"/>
      <c r="BK41" s="2"/>
      <c r="BL41" s="2"/>
      <c r="BM41" s="2"/>
    </row>
    <row r="42">
      <c r="A42" s="88" t="s">
        <v>149</v>
      </c>
      <c r="B42" s="95"/>
      <c r="C42" s="96"/>
      <c r="D42" s="96"/>
      <c r="E42" s="96"/>
      <c r="F42" s="97"/>
      <c r="I42" s="87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BD42" s="2"/>
      <c r="BE42" s="2"/>
      <c r="BF42" s="2"/>
      <c r="BG42" s="2"/>
      <c r="BH42" s="2"/>
      <c r="BI42" s="2"/>
      <c r="BJ42" s="2"/>
      <c r="BK42" s="2"/>
      <c r="BL42" s="2"/>
      <c r="BM42" s="2"/>
    </row>
    <row r="43">
      <c r="A43" s="88" t="s">
        <v>150</v>
      </c>
      <c r="B43" s="95"/>
      <c r="C43" s="96"/>
      <c r="D43" s="96"/>
      <c r="E43" s="96"/>
      <c r="F43" s="97"/>
      <c r="H43" s="2"/>
      <c r="I43" s="2"/>
      <c r="J43" s="2"/>
      <c r="K43" s="2"/>
      <c r="L43" s="2"/>
      <c r="M43" s="2"/>
      <c r="N43" s="2"/>
      <c r="O43" s="2"/>
      <c r="P43" s="99" t="s">
        <v>151</v>
      </c>
      <c r="Q43" s="2"/>
      <c r="R43" s="2"/>
      <c r="S43" s="2"/>
      <c r="T43" s="2"/>
      <c r="U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BD43" s="2"/>
      <c r="BE43" s="2"/>
      <c r="BF43" s="2"/>
      <c r="BG43" s="2"/>
      <c r="BH43" s="2"/>
      <c r="BI43" s="2"/>
      <c r="BJ43" s="2"/>
      <c r="BK43" s="2"/>
      <c r="BL43" s="2"/>
      <c r="BM43" s="2"/>
    </row>
    <row r="44">
      <c r="A44" s="88" t="s">
        <v>144</v>
      </c>
      <c r="B44" s="95"/>
      <c r="C44" s="96"/>
      <c r="D44" s="96"/>
      <c r="E44" s="96"/>
      <c r="F44" s="97"/>
    </row>
    <row r="45">
      <c r="A45" s="88" t="s">
        <v>152</v>
      </c>
      <c r="B45" s="95"/>
      <c r="C45" s="96"/>
      <c r="D45" s="96"/>
      <c r="E45" s="96"/>
      <c r="F45" s="97"/>
    </row>
    <row r="46">
      <c r="A46" s="88" t="s">
        <v>153</v>
      </c>
      <c r="B46" s="95"/>
      <c r="C46" s="96"/>
      <c r="D46" s="96"/>
      <c r="E46" s="96"/>
      <c r="F46" s="97"/>
    </row>
    <row r="47">
      <c r="A47" s="88" t="s">
        <v>154</v>
      </c>
      <c r="B47" s="95"/>
      <c r="C47" s="96"/>
      <c r="D47" s="96"/>
      <c r="E47" s="96"/>
      <c r="F47" s="97"/>
    </row>
    <row r="48">
      <c r="A48" s="88" t="s">
        <v>155</v>
      </c>
      <c r="B48" s="100" t="s">
        <v>156</v>
      </c>
      <c r="C48" s="101" t="s">
        <v>157</v>
      </c>
      <c r="D48" s="101" t="s">
        <v>158</v>
      </c>
      <c r="E48" s="101" t="s">
        <v>159</v>
      </c>
      <c r="F48" s="102" t="s">
        <v>160</v>
      </c>
    </row>
    <row r="82">
      <c r="A82" s="41"/>
      <c r="B82" s="103" t="s">
        <v>147</v>
      </c>
      <c r="C82" s="103" t="s">
        <v>148</v>
      </c>
      <c r="D82" s="103" t="s">
        <v>149</v>
      </c>
      <c r="E82" s="103" t="s">
        <v>150</v>
      </c>
      <c r="F82" s="103" t="s">
        <v>144</v>
      </c>
      <c r="G82" s="103" t="s">
        <v>153</v>
      </c>
      <c r="H82" s="103" t="s">
        <v>154</v>
      </c>
      <c r="I82" s="104" t="s">
        <v>155</v>
      </c>
    </row>
    <row r="83">
      <c r="A83" s="41"/>
      <c r="B83" s="42" t="s">
        <v>49</v>
      </c>
      <c r="C83" s="42" t="s">
        <v>32</v>
      </c>
      <c r="D83" s="42" t="s">
        <v>161</v>
      </c>
      <c r="E83" s="42" t="s">
        <v>51</v>
      </c>
      <c r="F83" s="105" t="s">
        <v>52</v>
      </c>
      <c r="G83" s="105" t="s">
        <v>53</v>
      </c>
      <c r="H83" s="42" t="s">
        <v>54</v>
      </c>
      <c r="I83" s="43" t="s">
        <v>55</v>
      </c>
    </row>
    <row r="84">
      <c r="A84" s="26" t="s">
        <v>19</v>
      </c>
      <c r="B84" s="48">
        <v>9.0</v>
      </c>
      <c r="C84" s="48">
        <v>3.0</v>
      </c>
      <c r="D84" s="48">
        <v>2.0</v>
      </c>
      <c r="E84" s="48">
        <v>6.0</v>
      </c>
      <c r="F84" s="48">
        <v>3.0</v>
      </c>
      <c r="G84" s="48">
        <v>4.0</v>
      </c>
      <c r="H84" s="48">
        <v>7.0</v>
      </c>
      <c r="I84" s="49">
        <v>7.0</v>
      </c>
    </row>
    <row r="85">
      <c r="A85" s="26" t="s">
        <v>20</v>
      </c>
      <c r="B85" s="48">
        <v>7.0</v>
      </c>
      <c r="C85" s="48">
        <v>10.0</v>
      </c>
      <c r="D85" s="48">
        <v>3.0</v>
      </c>
      <c r="E85" s="48">
        <v>8.0</v>
      </c>
      <c r="F85" s="48">
        <v>1.0</v>
      </c>
      <c r="G85" s="48">
        <v>3.0</v>
      </c>
      <c r="H85" s="48">
        <v>7.0</v>
      </c>
      <c r="I85" s="49">
        <v>2.0</v>
      </c>
    </row>
    <row r="86">
      <c r="A86" s="26" t="s">
        <v>21</v>
      </c>
      <c r="B86" s="48">
        <v>1.0</v>
      </c>
      <c r="C86" s="48">
        <v>6.0</v>
      </c>
      <c r="D86" s="48">
        <v>9.0</v>
      </c>
      <c r="E86" s="48">
        <v>2.0</v>
      </c>
      <c r="F86" s="48">
        <v>4.0</v>
      </c>
      <c r="G86" s="48">
        <v>9.0</v>
      </c>
      <c r="H86" s="48">
        <v>7.0</v>
      </c>
      <c r="I86" s="49">
        <v>10.0</v>
      </c>
    </row>
    <row r="87">
      <c r="A87" s="26" t="s">
        <v>22</v>
      </c>
      <c r="B87" s="48">
        <v>8.0</v>
      </c>
      <c r="C87" s="48">
        <v>7.0</v>
      </c>
      <c r="D87" s="48">
        <v>4.0</v>
      </c>
      <c r="E87" s="48">
        <v>10.0</v>
      </c>
      <c r="F87" s="48">
        <v>6.0</v>
      </c>
      <c r="G87" s="48">
        <v>1.0</v>
      </c>
      <c r="H87" s="48">
        <v>7.0</v>
      </c>
      <c r="I87" s="49">
        <v>2.0</v>
      </c>
    </row>
    <row r="88">
      <c r="A88" s="26" t="s">
        <v>23</v>
      </c>
      <c r="B88" s="48">
        <v>2.0</v>
      </c>
      <c r="C88" s="48">
        <v>2.0</v>
      </c>
      <c r="D88" s="48">
        <v>9.0</v>
      </c>
      <c r="E88" s="48">
        <v>3.0</v>
      </c>
      <c r="F88" s="48">
        <v>10.0</v>
      </c>
      <c r="G88" s="48">
        <v>5.0</v>
      </c>
      <c r="H88" s="48">
        <v>1.0</v>
      </c>
      <c r="I88" s="49">
        <v>1.0</v>
      </c>
    </row>
    <row r="89">
      <c r="A89" s="26" t="s">
        <v>24</v>
      </c>
      <c r="B89" s="48">
        <v>1.0</v>
      </c>
      <c r="C89" s="48">
        <v>5.0</v>
      </c>
      <c r="D89" s="48">
        <v>7.0</v>
      </c>
      <c r="E89" s="48">
        <v>3.0</v>
      </c>
      <c r="F89" s="48">
        <v>7.0</v>
      </c>
      <c r="G89" s="48">
        <v>8.0</v>
      </c>
      <c r="H89" s="48">
        <v>7.0</v>
      </c>
      <c r="I89" s="49">
        <v>9.0</v>
      </c>
    </row>
    <row r="90">
      <c r="A90" s="26" t="s">
        <v>25</v>
      </c>
      <c r="B90" s="48">
        <v>9.0</v>
      </c>
      <c r="C90" s="48">
        <v>6.0</v>
      </c>
      <c r="D90" s="48">
        <v>6.0</v>
      </c>
      <c r="E90" s="48">
        <v>7.0</v>
      </c>
      <c r="F90" s="48">
        <v>6.0</v>
      </c>
      <c r="G90" s="48">
        <v>8.0</v>
      </c>
      <c r="H90" s="48">
        <v>7.0</v>
      </c>
      <c r="I90" s="49">
        <v>4.0</v>
      </c>
    </row>
    <row r="91">
      <c r="A91" s="26" t="s">
        <v>26</v>
      </c>
      <c r="B91" s="48">
        <v>4.0</v>
      </c>
      <c r="C91" s="48">
        <v>2.0</v>
      </c>
      <c r="D91" s="48">
        <v>2.0</v>
      </c>
      <c r="E91" s="48">
        <v>1.0</v>
      </c>
      <c r="F91" s="48">
        <v>4.0</v>
      </c>
      <c r="G91" s="48">
        <v>3.0</v>
      </c>
      <c r="H91" s="48">
        <v>1.0</v>
      </c>
      <c r="I91" s="49">
        <v>8.0</v>
      </c>
    </row>
    <row r="92">
      <c r="A92" s="65" t="s">
        <v>103</v>
      </c>
      <c r="B92" s="66">
        <f t="shared" ref="B92:I92" si="3">SUM(B84:B91)</f>
        <v>41</v>
      </c>
      <c r="C92" s="66">
        <f t="shared" si="3"/>
        <v>41</v>
      </c>
      <c r="D92" s="66">
        <f t="shared" si="3"/>
        <v>42</v>
      </c>
      <c r="E92" s="66">
        <f t="shared" si="3"/>
        <v>40</v>
      </c>
      <c r="F92" s="66">
        <f t="shared" si="3"/>
        <v>41</v>
      </c>
      <c r="G92" s="66">
        <f t="shared" si="3"/>
        <v>41</v>
      </c>
      <c r="H92" s="66">
        <f t="shared" si="3"/>
        <v>44</v>
      </c>
      <c r="I92" s="67">
        <f t="shared" si="3"/>
        <v>43</v>
      </c>
    </row>
  </sheetData>
  <conditionalFormatting sqref="B11:I18 B84:I91">
    <cfRule type="colorScale" priority="1">
      <colorScale>
        <cfvo type="min"/>
        <cfvo type="max"/>
        <color rgb="FFFFFFFF"/>
        <color rgb="FFFFD666"/>
      </colorScale>
    </cfRule>
  </conditionalFormatting>
  <hyperlinks>
    <hyperlink r:id="rId1" ref="P43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2" max="2" width="49.75"/>
    <col customWidth="1" min="3" max="3" width="18.5"/>
    <col customWidth="1" min="4" max="4" width="17.88"/>
    <col customWidth="1" min="5" max="5" width="21.13"/>
    <col customWidth="1" min="6" max="6" width="21.25"/>
    <col customWidth="1" min="7" max="7" width="18.25"/>
    <col customWidth="1" min="8" max="8" width="16.25"/>
  </cols>
  <sheetData>
    <row r="1">
      <c r="A1" s="106" t="s">
        <v>43</v>
      </c>
      <c r="B1" s="106" t="s">
        <v>44</v>
      </c>
      <c r="C1" s="106" t="s">
        <v>9</v>
      </c>
      <c r="D1" s="106" t="s">
        <v>10</v>
      </c>
      <c r="E1" s="106" t="s">
        <v>162</v>
      </c>
      <c r="F1" s="106" t="s">
        <v>163</v>
      </c>
      <c r="G1" s="106" t="s">
        <v>13</v>
      </c>
      <c r="H1" s="107" t="s">
        <v>14</v>
      </c>
    </row>
    <row r="2">
      <c r="A2" s="108" t="s">
        <v>164</v>
      </c>
      <c r="B2" s="108" t="s">
        <v>165</v>
      </c>
      <c r="C2" s="108" t="s">
        <v>152</v>
      </c>
      <c r="D2" s="108" t="s">
        <v>166</v>
      </c>
      <c r="E2" s="108" t="s">
        <v>167</v>
      </c>
      <c r="F2" s="108" t="s">
        <v>168</v>
      </c>
      <c r="G2" s="108" t="s">
        <v>169</v>
      </c>
      <c r="H2" s="108" t="s">
        <v>170</v>
      </c>
    </row>
    <row r="3">
      <c r="A3" s="109" t="s">
        <v>171</v>
      </c>
      <c r="B3" s="109" t="s">
        <v>172</v>
      </c>
      <c r="C3" s="109"/>
      <c r="D3" s="109"/>
      <c r="E3" s="109"/>
      <c r="F3" s="109"/>
      <c r="G3" s="109"/>
      <c r="H3" s="109"/>
    </row>
    <row r="4">
      <c r="A4" s="109" t="s">
        <v>173</v>
      </c>
      <c r="B4" s="109" t="s">
        <v>174</v>
      </c>
      <c r="C4" s="109"/>
      <c r="D4" s="109"/>
      <c r="E4" s="109"/>
      <c r="F4" s="109"/>
      <c r="G4" s="109"/>
      <c r="H4" s="109"/>
    </row>
    <row r="5">
      <c r="A5" s="109" t="s">
        <v>175</v>
      </c>
      <c r="B5" s="109" t="s">
        <v>176</v>
      </c>
      <c r="C5" s="109"/>
      <c r="D5" s="109"/>
      <c r="E5" s="109"/>
      <c r="F5" s="109"/>
      <c r="G5" s="109"/>
      <c r="H5" s="109"/>
    </row>
    <row r="6">
      <c r="A6" s="110" t="s">
        <v>177</v>
      </c>
      <c r="B6" s="110" t="s">
        <v>178</v>
      </c>
      <c r="C6" s="110" t="s">
        <v>70</v>
      </c>
      <c r="D6" s="110" t="s">
        <v>179</v>
      </c>
      <c r="E6" s="110" t="s">
        <v>180</v>
      </c>
      <c r="F6" s="110" t="s">
        <v>181</v>
      </c>
      <c r="G6" s="110" t="s">
        <v>182</v>
      </c>
      <c r="H6" s="110" t="s">
        <v>183</v>
      </c>
    </row>
    <row r="7">
      <c r="A7" s="111" t="s">
        <v>184</v>
      </c>
      <c r="B7" s="111" t="s">
        <v>185</v>
      </c>
      <c r="C7" s="111"/>
      <c r="D7" s="111"/>
      <c r="E7" s="111"/>
      <c r="F7" s="111"/>
      <c r="G7" s="111"/>
      <c r="H7" s="111"/>
    </row>
    <row r="8">
      <c r="A8" s="111" t="s">
        <v>186</v>
      </c>
      <c r="B8" s="111" t="s">
        <v>187</v>
      </c>
      <c r="C8" s="111"/>
      <c r="D8" s="111"/>
      <c r="E8" s="111"/>
      <c r="F8" s="111"/>
      <c r="G8" s="111"/>
      <c r="H8" s="111"/>
    </row>
    <row r="9">
      <c r="A9" s="111" t="s">
        <v>188</v>
      </c>
      <c r="B9" s="111" t="s">
        <v>189</v>
      </c>
      <c r="C9" s="111"/>
      <c r="D9" s="111"/>
      <c r="E9" s="111"/>
      <c r="F9" s="111"/>
      <c r="G9" s="111"/>
      <c r="H9" s="111"/>
    </row>
    <row r="10">
      <c r="A10" s="112" t="s">
        <v>190</v>
      </c>
      <c r="B10" s="112" t="s">
        <v>191</v>
      </c>
      <c r="C10" s="112" t="s">
        <v>144</v>
      </c>
      <c r="D10" s="112" t="s">
        <v>192</v>
      </c>
      <c r="E10" s="112" t="s">
        <v>193</v>
      </c>
      <c r="F10" s="112" t="s">
        <v>194</v>
      </c>
      <c r="G10" s="112" t="s">
        <v>195</v>
      </c>
      <c r="H10" s="112" t="s">
        <v>196</v>
      </c>
    </row>
    <row r="11">
      <c r="A11" s="113" t="s">
        <v>197</v>
      </c>
      <c r="B11" s="113" t="s">
        <v>198</v>
      </c>
      <c r="C11" s="113"/>
      <c r="D11" s="113"/>
      <c r="E11" s="113"/>
      <c r="F11" s="113"/>
      <c r="G11" s="113"/>
      <c r="H11" s="113"/>
    </row>
    <row r="12">
      <c r="A12" s="113" t="s">
        <v>199</v>
      </c>
      <c r="B12" s="113" t="s">
        <v>200</v>
      </c>
      <c r="C12" s="113"/>
      <c r="D12" s="113"/>
      <c r="E12" s="113"/>
      <c r="F12" s="113"/>
      <c r="G12" s="113"/>
      <c r="H12" s="113"/>
    </row>
    <row r="13">
      <c r="A13" s="113" t="s">
        <v>201</v>
      </c>
      <c r="B13" s="113" t="s">
        <v>202</v>
      </c>
      <c r="C13" s="113"/>
      <c r="D13" s="113"/>
      <c r="E13" s="113"/>
      <c r="F13" s="113"/>
      <c r="G13" s="113"/>
      <c r="H13" s="113"/>
    </row>
    <row r="14">
      <c r="A14" s="114" t="s">
        <v>203</v>
      </c>
      <c r="B14" s="114" t="s">
        <v>203</v>
      </c>
      <c r="C14" s="114" t="s">
        <v>203</v>
      </c>
      <c r="D14" s="114" t="s">
        <v>203</v>
      </c>
      <c r="E14" s="114" t="s">
        <v>203</v>
      </c>
      <c r="F14" s="114" t="s">
        <v>203</v>
      </c>
      <c r="G14" s="114" t="s">
        <v>203</v>
      </c>
      <c r="H14" s="114" t="s">
        <v>203</v>
      </c>
    </row>
    <row r="15">
      <c r="B15" s="115"/>
    </row>
    <row r="31">
      <c r="A31" s="106"/>
    </row>
    <row r="32">
      <c r="A32" s="42"/>
    </row>
    <row r="35">
      <c r="A35" s="116"/>
    </row>
    <row r="36">
      <c r="A36" s="42"/>
    </row>
    <row r="38">
      <c r="A38" s="116"/>
    </row>
    <row r="39">
      <c r="A39" s="116"/>
    </row>
    <row r="40">
      <c r="A40" s="42"/>
    </row>
    <row r="44">
      <c r="A44" s="117"/>
    </row>
    <row r="45">
      <c r="A45" s="117"/>
    </row>
    <row r="46">
      <c r="A46" s="11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0"/>
    <col customWidth="1" min="3" max="3" width="77.5"/>
    <col customWidth="1" min="4" max="4" width="18.25"/>
  </cols>
  <sheetData>
    <row r="1">
      <c r="A1" s="118" t="s">
        <v>204</v>
      </c>
      <c r="D1" s="44" t="s">
        <v>205</v>
      </c>
    </row>
    <row r="2">
      <c r="A2" s="44" t="s">
        <v>206</v>
      </c>
      <c r="B2" s="44" t="s">
        <v>207</v>
      </c>
      <c r="D2" s="119"/>
    </row>
    <row r="3">
      <c r="A3" s="44" t="s">
        <v>208</v>
      </c>
      <c r="B3" s="44" t="s">
        <v>209</v>
      </c>
      <c r="C3" s="44" t="s">
        <v>210</v>
      </c>
      <c r="D3" s="119"/>
    </row>
    <row r="4">
      <c r="A4" s="44" t="s">
        <v>211</v>
      </c>
      <c r="B4" s="44" t="s">
        <v>212</v>
      </c>
      <c r="D4" s="119"/>
    </row>
    <row r="5">
      <c r="A5" s="44" t="s">
        <v>213</v>
      </c>
      <c r="B5" s="44" t="s">
        <v>214</v>
      </c>
      <c r="D5" s="119"/>
    </row>
    <row r="6">
      <c r="A6" s="44" t="s">
        <v>215</v>
      </c>
      <c r="B6" s="44" t="s">
        <v>216</v>
      </c>
      <c r="D6" s="120">
        <v>12.0</v>
      </c>
    </row>
    <row r="7">
      <c r="C7" s="44" t="s">
        <v>217</v>
      </c>
    </row>
    <row r="8">
      <c r="A8" s="44" t="s">
        <v>218</v>
      </c>
      <c r="B8" s="121"/>
    </row>
    <row r="9">
      <c r="B9" s="121"/>
    </row>
    <row r="10">
      <c r="B10" s="121"/>
    </row>
    <row r="11">
      <c r="B11" s="121"/>
    </row>
    <row r="12">
      <c r="B12" s="121"/>
    </row>
    <row r="13">
      <c r="B13" s="121"/>
    </row>
    <row r="14">
      <c r="B14" s="121"/>
    </row>
    <row r="16">
      <c r="B16" s="44" t="s">
        <v>219</v>
      </c>
      <c r="C16" s="122" t="s">
        <v>220</v>
      </c>
      <c r="D16" s="44" t="s">
        <v>221</v>
      </c>
    </row>
    <row r="17">
      <c r="C17" s="122" t="s">
        <v>222</v>
      </c>
      <c r="D17" s="44" t="s">
        <v>221</v>
      </c>
    </row>
    <row r="18">
      <c r="C18" s="122" t="s">
        <v>223</v>
      </c>
      <c r="D18" s="44" t="s">
        <v>221</v>
      </c>
    </row>
    <row r="19">
      <c r="B19" s="44" t="s">
        <v>224</v>
      </c>
      <c r="C19" s="122" t="s">
        <v>225</v>
      </c>
      <c r="D19" s="44" t="s">
        <v>221</v>
      </c>
    </row>
    <row r="20">
      <c r="B20" s="44"/>
      <c r="C20" s="123" t="s">
        <v>226</v>
      </c>
      <c r="D20" s="44" t="s">
        <v>227</v>
      </c>
    </row>
    <row r="21">
      <c r="C21" s="123" t="s">
        <v>228</v>
      </c>
      <c r="D21" s="44" t="s">
        <v>227</v>
      </c>
    </row>
    <row r="22" hidden="1">
      <c r="C22" s="123" t="s">
        <v>229</v>
      </c>
      <c r="D22" s="44" t="s">
        <v>227</v>
      </c>
    </row>
    <row r="23" hidden="1">
      <c r="C23" s="123" t="s">
        <v>230</v>
      </c>
      <c r="D23" s="44" t="s">
        <v>227</v>
      </c>
    </row>
    <row r="24" hidden="1">
      <c r="C24" s="123" t="s">
        <v>231</v>
      </c>
      <c r="D24" s="44" t="s">
        <v>227</v>
      </c>
    </row>
    <row r="25">
      <c r="B25" s="44" t="s">
        <v>232</v>
      </c>
      <c r="C25" s="123" t="s">
        <v>233</v>
      </c>
      <c r="D25" s="44" t="s">
        <v>227</v>
      </c>
    </row>
    <row r="26">
      <c r="C26" s="123" t="s">
        <v>234</v>
      </c>
      <c r="D26" s="44" t="s">
        <v>227</v>
      </c>
    </row>
    <row r="27">
      <c r="C27" s="123" t="s">
        <v>235</v>
      </c>
      <c r="D27" s="44" t="s">
        <v>227</v>
      </c>
    </row>
    <row r="28" hidden="1">
      <c r="C28" s="123" t="s">
        <v>236</v>
      </c>
      <c r="D28" s="44" t="s">
        <v>227</v>
      </c>
    </row>
    <row r="29">
      <c r="B29" s="44" t="s">
        <v>237</v>
      </c>
      <c r="C29" s="123" t="s">
        <v>238</v>
      </c>
      <c r="D29" s="44" t="s">
        <v>227</v>
      </c>
    </row>
    <row r="30">
      <c r="C30" s="123" t="s">
        <v>239</v>
      </c>
      <c r="D30" s="44" t="s">
        <v>227</v>
      </c>
    </row>
    <row r="31">
      <c r="C31" s="124" t="s">
        <v>240</v>
      </c>
      <c r="D31" s="44" t="s">
        <v>241</v>
      </c>
    </row>
    <row r="32">
      <c r="B32" s="44" t="s">
        <v>240</v>
      </c>
      <c r="C32" s="124" t="s">
        <v>242</v>
      </c>
      <c r="D32" s="44" t="s">
        <v>241</v>
      </c>
    </row>
    <row r="33">
      <c r="B33" s="44"/>
      <c r="C33" s="124" t="s">
        <v>243</v>
      </c>
      <c r="D33" s="44" t="s">
        <v>241</v>
      </c>
    </row>
    <row r="34">
      <c r="C34" s="124" t="s">
        <v>244</v>
      </c>
      <c r="D34" s="44" t="s">
        <v>241</v>
      </c>
    </row>
    <row r="35">
      <c r="C35" s="125" t="s">
        <v>245</v>
      </c>
      <c r="D35" s="44" t="s">
        <v>246</v>
      </c>
    </row>
    <row r="36">
      <c r="B36" s="44" t="s">
        <v>247</v>
      </c>
      <c r="C36" s="126" t="s">
        <v>248</v>
      </c>
      <c r="D36" s="44" t="s">
        <v>246</v>
      </c>
    </row>
    <row r="37">
      <c r="C37" s="126" t="s">
        <v>249</v>
      </c>
      <c r="D37" s="44" t="s">
        <v>246</v>
      </c>
    </row>
    <row r="38">
      <c r="C38" s="126" t="s">
        <v>250</v>
      </c>
      <c r="D38" s="44" t="s">
        <v>246</v>
      </c>
    </row>
    <row r="39">
      <c r="C39" s="126" t="s">
        <v>251</v>
      </c>
      <c r="D39" s="44" t="s">
        <v>246</v>
      </c>
    </row>
    <row r="40">
      <c r="C40" s="126" t="s">
        <v>252</v>
      </c>
      <c r="D40" s="44" t="s">
        <v>246</v>
      </c>
    </row>
    <row r="41" hidden="1">
      <c r="B41" s="44" t="s">
        <v>253</v>
      </c>
      <c r="C41" s="126" t="s">
        <v>254</v>
      </c>
    </row>
    <row r="42" hidden="1">
      <c r="C42" s="126" t="s">
        <v>255</v>
      </c>
    </row>
    <row r="43" hidden="1">
      <c r="C43" s="126" t="s">
        <v>256</v>
      </c>
    </row>
    <row r="44" hidden="1">
      <c r="C44" s="126" t="s">
        <v>257</v>
      </c>
    </row>
    <row r="45" hidden="1">
      <c r="C45" s="126" t="s">
        <v>258</v>
      </c>
    </row>
    <row r="46">
      <c r="B46" s="44" t="s">
        <v>259</v>
      </c>
      <c r="C46" s="127" t="s">
        <v>260</v>
      </c>
      <c r="D46" s="44" t="s">
        <v>213</v>
      </c>
    </row>
    <row r="47">
      <c r="C47" s="127" t="s">
        <v>261</v>
      </c>
      <c r="D47" s="44" t="s">
        <v>213</v>
      </c>
    </row>
    <row r="48">
      <c r="B48" s="44" t="s">
        <v>262</v>
      </c>
      <c r="C48" s="127" t="s">
        <v>263</v>
      </c>
      <c r="D48" s="44" t="s">
        <v>213</v>
      </c>
    </row>
    <row r="49">
      <c r="C49" s="127" t="s">
        <v>264</v>
      </c>
      <c r="D49" s="44" t="s">
        <v>213</v>
      </c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75"/>
    <col customWidth="1" min="8" max="8" width="15.25"/>
  </cols>
  <sheetData>
    <row r="1">
      <c r="A1" s="44" t="s">
        <v>265</v>
      </c>
    </row>
    <row r="5">
      <c r="B5" s="128"/>
      <c r="C5" s="129"/>
      <c r="D5" s="130"/>
      <c r="E5" s="128"/>
      <c r="F5" s="129"/>
      <c r="G5" s="129"/>
      <c r="H5" s="129"/>
      <c r="I5" s="129"/>
      <c r="J5" s="130"/>
    </row>
    <row r="6">
      <c r="B6" s="131"/>
      <c r="D6" s="132"/>
      <c r="E6" s="131"/>
      <c r="J6" s="132"/>
    </row>
    <row r="7">
      <c r="B7" s="133" t="s">
        <v>43</v>
      </c>
      <c r="C7" s="88" t="s">
        <v>9</v>
      </c>
      <c r="D7" s="134" t="s">
        <v>266</v>
      </c>
      <c r="E7" s="92"/>
      <c r="F7" s="44" t="s">
        <v>267</v>
      </c>
      <c r="G7" s="44" t="s">
        <v>268</v>
      </c>
      <c r="H7" s="44" t="s">
        <v>269</v>
      </c>
      <c r="I7" s="44" t="s">
        <v>270</v>
      </c>
      <c r="J7" s="132"/>
    </row>
    <row r="8">
      <c r="B8" s="135" t="s">
        <v>271</v>
      </c>
      <c r="C8" s="44" t="s">
        <v>271</v>
      </c>
      <c r="D8" s="136" t="s">
        <v>271</v>
      </c>
      <c r="E8" s="131"/>
      <c r="F8" s="44" t="s">
        <v>272</v>
      </c>
      <c r="G8" s="44" t="s">
        <v>273</v>
      </c>
      <c r="H8" s="44" t="s">
        <v>269</v>
      </c>
      <c r="I8" s="44" t="s">
        <v>274</v>
      </c>
      <c r="J8" s="132"/>
    </row>
    <row r="9">
      <c r="B9" s="135" t="s">
        <v>271</v>
      </c>
      <c r="C9" s="44" t="s">
        <v>271</v>
      </c>
      <c r="D9" s="136" t="s">
        <v>271</v>
      </c>
      <c r="E9" s="131"/>
      <c r="F9" s="44" t="s">
        <v>275</v>
      </c>
      <c r="G9" s="44" t="s">
        <v>276</v>
      </c>
      <c r="H9" s="44" t="s">
        <v>277</v>
      </c>
      <c r="I9" s="44" t="s">
        <v>278</v>
      </c>
      <c r="J9" s="132"/>
    </row>
    <row r="10">
      <c r="B10" s="135" t="s">
        <v>271</v>
      </c>
      <c r="C10" s="44" t="s">
        <v>271</v>
      </c>
      <c r="D10" s="136" t="s">
        <v>271</v>
      </c>
      <c r="E10" s="131"/>
      <c r="J10" s="132"/>
    </row>
    <row r="11">
      <c r="B11" s="131"/>
      <c r="D11" s="132"/>
      <c r="E11" s="137"/>
      <c r="F11" s="138"/>
      <c r="G11" s="138"/>
      <c r="H11" s="138"/>
      <c r="I11" s="138"/>
      <c r="J11" s="139"/>
    </row>
    <row r="12">
      <c r="B12" s="131"/>
      <c r="D12" s="132"/>
    </row>
    <row r="13">
      <c r="B13" s="133" t="s">
        <v>19</v>
      </c>
      <c r="D13" s="134" t="s">
        <v>279</v>
      </c>
    </row>
    <row r="14">
      <c r="B14" s="133" t="s">
        <v>20</v>
      </c>
      <c r="D14" s="134" t="s">
        <v>280</v>
      </c>
    </row>
    <row r="15">
      <c r="B15" s="133" t="s">
        <v>21</v>
      </c>
      <c r="D15" s="134" t="s">
        <v>281</v>
      </c>
      <c r="F15" s="140" t="s">
        <v>282</v>
      </c>
      <c r="G15" s="130"/>
    </row>
    <row r="16">
      <c r="B16" s="133" t="s">
        <v>22</v>
      </c>
      <c r="D16" s="134" t="s">
        <v>283</v>
      </c>
      <c r="F16" s="44" t="s">
        <v>284</v>
      </c>
      <c r="G16" s="132"/>
    </row>
    <row r="17">
      <c r="B17" s="133" t="s">
        <v>23</v>
      </c>
      <c r="D17" s="134" t="s">
        <v>285</v>
      </c>
      <c r="F17" s="135" t="s">
        <v>286</v>
      </c>
      <c r="G17" s="132"/>
    </row>
    <row r="18">
      <c r="B18" s="133" t="s">
        <v>287</v>
      </c>
      <c r="D18" s="134" t="s">
        <v>288</v>
      </c>
      <c r="F18" s="135" t="s">
        <v>289</v>
      </c>
      <c r="G18" s="132"/>
    </row>
    <row r="19">
      <c r="B19" s="133" t="s">
        <v>24</v>
      </c>
      <c r="D19" s="134" t="s">
        <v>290</v>
      </c>
      <c r="F19" s="135" t="s">
        <v>291</v>
      </c>
      <c r="G19" s="132"/>
    </row>
    <row r="20">
      <c r="B20" s="133" t="s">
        <v>25</v>
      </c>
      <c r="D20" s="141" t="s">
        <v>138</v>
      </c>
      <c r="F20" s="135" t="s">
        <v>292</v>
      </c>
      <c r="G20" s="132"/>
    </row>
    <row r="21">
      <c r="B21" s="133" t="s">
        <v>26</v>
      </c>
      <c r="D21" s="134" t="s">
        <v>116</v>
      </c>
      <c r="F21" s="135" t="s">
        <v>293</v>
      </c>
      <c r="G21" s="139"/>
    </row>
    <row r="22">
      <c r="B22" s="131"/>
      <c r="D22" s="134" t="s">
        <v>294</v>
      </c>
    </row>
    <row r="23">
      <c r="B23" s="131"/>
      <c r="D23" s="141" t="s">
        <v>295</v>
      </c>
    </row>
    <row r="24">
      <c r="B24" s="131"/>
      <c r="D24" s="141" t="s">
        <v>296</v>
      </c>
    </row>
    <row r="25">
      <c r="B25" s="131"/>
      <c r="D25" s="142" t="s">
        <v>297</v>
      </c>
    </row>
    <row r="26">
      <c r="B26" s="131"/>
      <c r="D26" s="134" t="s">
        <v>298</v>
      </c>
    </row>
    <row r="27">
      <c r="B27" s="131"/>
      <c r="D27" s="142"/>
    </row>
    <row r="28">
      <c r="B28" s="131"/>
      <c r="D28" s="134" t="s">
        <v>140</v>
      </c>
    </row>
    <row r="29">
      <c r="B29" s="131"/>
      <c r="D29" s="142"/>
    </row>
    <row r="30">
      <c r="B30" s="131"/>
      <c r="D30" s="134" t="s">
        <v>299</v>
      </c>
    </row>
    <row r="31">
      <c r="B31" s="131"/>
      <c r="D31" s="142"/>
    </row>
    <row r="32">
      <c r="B32" s="131"/>
      <c r="D32" s="134" t="s">
        <v>300</v>
      </c>
    </row>
    <row r="33">
      <c r="B33" s="131"/>
      <c r="D33" s="134" t="s">
        <v>256</v>
      </c>
    </row>
    <row r="34">
      <c r="B34" s="131"/>
      <c r="D34" s="141" t="s">
        <v>301</v>
      </c>
    </row>
    <row r="35">
      <c r="B35" s="131"/>
      <c r="D35" s="141" t="s">
        <v>302</v>
      </c>
    </row>
    <row r="36">
      <c r="B36" s="131"/>
      <c r="D36" s="134" t="s">
        <v>303</v>
      </c>
    </row>
    <row r="37">
      <c r="B37" s="131"/>
      <c r="D37" s="134" t="s">
        <v>304</v>
      </c>
    </row>
    <row r="38">
      <c r="B38" s="131"/>
      <c r="D38" s="142"/>
    </row>
    <row r="39">
      <c r="B39" s="131"/>
      <c r="D39" s="134" t="s">
        <v>115</v>
      </c>
    </row>
    <row r="40">
      <c r="B40" s="131"/>
      <c r="D40" s="143" t="s">
        <v>305</v>
      </c>
    </row>
    <row r="41">
      <c r="B41" s="137"/>
      <c r="C41" s="138"/>
      <c r="D41" s="144" t="s">
        <v>306</v>
      </c>
    </row>
  </sheetData>
  <drawing r:id="rId1"/>
</worksheet>
</file>